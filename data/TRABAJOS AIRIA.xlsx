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T:\CONTROL TRABAJOS\CONTROL TRABAJOS\"/>
    </mc:Choice>
  </mc:AlternateContent>
  <xr:revisionPtr revIDLastSave="0" documentId="13_ncr:1_{DC229E12-0B14-4005-A4BE-815197341E06}" xr6:coauthVersionLast="47" xr6:coauthVersionMax="47" xr10:uidLastSave="{00000000-0000-0000-0000-000000000000}"/>
  <bookViews>
    <workbookView xWindow="-108" yWindow="-108" windowWidth="23256" windowHeight="12456" xr2:uid="{501F19E9-D7FF-4681-8A92-D06797D1AF77}"/>
  </bookViews>
  <sheets>
    <sheet name="TRABAJOS" sheetId="6"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66" i="6" l="1"/>
  <c r="W62" i="6"/>
</calcChain>
</file>

<file path=xl/sharedStrings.xml><?xml version="1.0" encoding="utf-8"?>
<sst xmlns="http://schemas.openxmlformats.org/spreadsheetml/2006/main" count="11476" uniqueCount="4151">
  <si>
    <t>AENA</t>
  </si>
  <si>
    <t>ATCV Adecuacion Campo de Vuelos de Reus</t>
  </si>
  <si>
    <t>Assignment name</t>
  </si>
  <si>
    <t>Country</t>
  </si>
  <si>
    <t>Location within country</t>
  </si>
  <si>
    <t>Start date (month/year)</t>
  </si>
  <si>
    <t>Completion date (month/year)</t>
  </si>
  <si>
    <t>Duration of assignment (months)</t>
  </si>
  <si>
    <t>Role and Associated firms</t>
  </si>
  <si>
    <t xml:space="preserve">Value of the contract </t>
  </si>
  <si>
    <t>Approx. value of the contract ("in current" US$)</t>
  </si>
  <si>
    <t>Approx. value of the services provided by your firm under the contract</t>
  </si>
  <si>
    <t>Approx. value of the services provided by your firm under the contract ("in current" US$)</t>
  </si>
  <si>
    <t>Name of client</t>
  </si>
  <si>
    <t>Contact</t>
  </si>
  <si>
    <t>Description of Project</t>
  </si>
  <si>
    <t>Description of actual services provided by your staff within the assignment</t>
  </si>
  <si>
    <t>Idioma</t>
  </si>
  <si>
    <t>Código Trabajo</t>
  </si>
  <si>
    <t>Nombre del contrato</t>
  </si>
  <si>
    <t>Tipo de contrato (Consultoría/ Ingeniería)</t>
  </si>
  <si>
    <t>País</t>
  </si>
  <si>
    <t xml:space="preserve">Localización dentro del país </t>
  </si>
  <si>
    <t>Fecha de comienzo (mes/año)</t>
  </si>
  <si>
    <t>Fecha de final (mes/año)</t>
  </si>
  <si>
    <t>Duración del contrato (meses)</t>
  </si>
  <si>
    <t>Rol y empresas asociadas</t>
  </si>
  <si>
    <t>Valor del contrato</t>
  </si>
  <si>
    <t>Valor aproximado del contrato (US$ "actual")</t>
  </si>
  <si>
    <t>% Participación</t>
  </si>
  <si>
    <t>Valor aproximado de los servicios que proporcionó la empresa en el contrato</t>
  </si>
  <si>
    <t>Valor aproximado de los servicios que proporcionó la empresa en el contrato (US$ "actual")</t>
  </si>
  <si>
    <t>Nombre del cliente</t>
  </si>
  <si>
    <t>Contacto</t>
  </si>
  <si>
    <t>Descripción del proyecto</t>
  </si>
  <si>
    <t>Descripción de los servicios proporcionados por los profesionales en el proyecto</t>
  </si>
  <si>
    <t>Mpax</t>
  </si>
  <si>
    <t>CAPEX / PEM</t>
  </si>
  <si>
    <t>CBE 
(Sí/No)</t>
  </si>
  <si>
    <t>ESP</t>
  </si>
  <si>
    <t>Consultoría</t>
  </si>
  <si>
    <t>Paraguay</t>
  </si>
  <si>
    <t>Asunción</t>
  </si>
  <si>
    <t>Consultor principal</t>
  </si>
  <si>
    <t>ENG</t>
  </si>
  <si>
    <t>Consultancy</t>
  </si>
  <si>
    <t>Lead consultant</t>
  </si>
  <si>
    <t>Perú</t>
  </si>
  <si>
    <t>Brasil</t>
  </si>
  <si>
    <t>Varios</t>
  </si>
  <si>
    <t>Cuba</t>
  </si>
  <si>
    <t>AYESA</t>
  </si>
  <si>
    <t>Louis Berger Spain S.A.</t>
  </si>
  <si>
    <t>Chile</t>
  </si>
  <si>
    <t>India</t>
  </si>
  <si>
    <t>España</t>
  </si>
  <si>
    <t>Huelva</t>
  </si>
  <si>
    <t>Spain</t>
  </si>
  <si>
    <t>Sí</t>
  </si>
  <si>
    <t>-</t>
  </si>
  <si>
    <t>Otros</t>
  </si>
  <si>
    <t>Año</t>
  </si>
  <si>
    <t>Nombre</t>
  </si>
  <si>
    <t>07</t>
  </si>
  <si>
    <t>000</t>
  </si>
  <si>
    <t>Castilop</t>
  </si>
  <si>
    <t>Comprobación del cumplimiento de la normativa del Aeropuerto de Castellón</t>
  </si>
  <si>
    <t>Castellón</t>
  </si>
  <si>
    <t>Diciembre 2007</t>
  </si>
  <si>
    <t>Noviembre 2007</t>
  </si>
  <si>
    <t>Julio 2007</t>
  </si>
  <si>
    <t>Aeropuerto de Castellón</t>
  </si>
  <si>
    <t>Informe técnico para indicar si el Proyecto Constructivo del Aeropuerto de Castellón, junto con las subsanaciones pertinentes, cumplía con los requerimientos de diseño y operación previstos en el Anexo 14 de OACI vigente en la fecha.</t>
  </si>
  <si>
    <t>El proyecto incluyó la revisión de las especificaciones técnicas relativas a:
• Datos aeronáuticos, puntos de referencia del aeródromo, elevaciones del aeródromo y pista, temperatura de referencia…
• Características físicas de franjas de pista, pistas, calles de rodaje y plataformas.
• Identificación de posibles obstáculos que sobrepasen las SLO, eliminación, señalamiento y/o iluminación
• Ayudas visuales para la navegación
• Señales, luces, letreros
• Ayudas visuales indicadoras de obstáculos
• Ayudas visuales indicadoras de zonas de uso restringido
• Equipo e instalaciones varias: fuente de energía eléctrica, sistemas eléctricos, vallas...
• Áreas destinadas a futuras instalaciones radioeléctricas de comunicaciones o ayuda a la navegación</t>
  </si>
  <si>
    <t>No</t>
  </si>
  <si>
    <t>Verification of the fulfillment of regulations at Castellón Airport</t>
  </si>
  <si>
    <t>July 2007</t>
  </si>
  <si>
    <t>December 2007</t>
  </si>
  <si>
    <t>Technical report to indicate if Castellón's Airport construction project and its corrections fulfill both design and operational requirements detailed in ICAO's Annex 14.</t>
  </si>
  <si>
    <t>The project included the revision of technical specifications related with:
• Aeronautical data, aerodrome reference points, aerodrome and runway elevations, reference temperature…
• Physical characteristics of runway strips, runway, taxiways, apron
• Identification of possible obstacles which penetrate OLS, removal, signalling and/or lightning
• Visual navigational aids
• Markers, lights, signs
• Obstacle indicator visual aids
• Restricted use areas visual aids
• Equipment and various facilities: electrical energy supply, electrical systems, fencing...
• Areas intended for future communication radioelectrical facilities or navigational aids</t>
  </si>
  <si>
    <t>001</t>
  </si>
  <si>
    <t>INECO Diseño Func. Ibiza</t>
  </si>
  <si>
    <t>Estudio Funcional de la Ampliación de la Terminal del Aeropuerto de Ibiza y Ajuste de Capacidad de Demanda en diversos aeropuertos de AENA</t>
  </si>
  <si>
    <t>Marzo 2007</t>
  </si>
  <si>
    <t>Febrero 2007</t>
  </si>
  <si>
    <t>Noviembre 2008</t>
  </si>
  <si>
    <t>INECO</t>
  </si>
  <si>
    <t>Julio Resino Alfonso
Jefe de División de Planificación Aeroportuaria</t>
  </si>
  <si>
    <t>Estudio funcional para revisar la capacidad de los subsistemas del edificio terminal de pasajeros en Ibiza, proponiendo soluciones para acoger la demanda futura, consistentes en una ampliación del edificio terminal, y la redefinición de espacios y elementos aeroportuarios.
Estudio de la capacidad actual de los diferentes subsistemas en los aeropuertos de Jerez, La Palma, El Hierro, Valencia, Ibiza, Menorca y Granada.</t>
  </si>
  <si>
    <t>El proyecto del Diseño Funcional en Ibiza incluyó:
• Estudio de capacidad de plataforma, edificio terminal, aparcamiento y accesos
• Estudio de necesidades operativas
• Definición, estudio y valoración de alternativas de desarrollo
• Definición de criterios de valoración
Los informes de estudios de capacidad englobaron la definición de la configuración del aeropuerto, los parámetros de cálculo, y el análisis de capacidad</t>
  </si>
  <si>
    <t>IBZ: 8</t>
  </si>
  <si>
    <t>IBZ: Superficie de 53.500 m2, 50 mostradores de facturación, 16 puertas de embarque</t>
  </si>
  <si>
    <t>IBZ: 15.000,00 €
CAPACIDAD: 20.000,00 €</t>
  </si>
  <si>
    <t>002</t>
  </si>
  <si>
    <t>Covilha</t>
  </si>
  <si>
    <t>Fornecimiento do Anteproyecto do Aeroporto da Covilha</t>
  </si>
  <si>
    <t>Portugal</t>
  </si>
  <si>
    <t>19.544,22 $</t>
  </si>
  <si>
    <t>Município da Covilha</t>
  </si>
  <si>
    <t>Joao M. Esgalhado, Gabinete do Vereador em Permanencia, Pç do Municipio, 6200-151 Covilha
José Manuel García, Director de Aeropuertos, PROINTEC</t>
  </si>
  <si>
    <t>Descripción del modelo conceptual del programa base del aeropuerto, con identificación de áreas funcionales, organigrama de funciones y actividades, criterios de dimensionamiento y de compartimentación, instalaciones y equipamiento, de apoyo, de comunicaciones, y seguridad. Definición y caracterización del modelo funcional global relativo al Master Plan. Definición del modelo conceptual y de desarrollo en fases.</t>
  </si>
  <si>
    <t>La lista de tareas es la siguiente:
• Estudio meteorológico (vientos y pluviosidad, como mínimo)
• Análisis de demanda
• Análisis de necesidades
• Alternativas de diseño conceptual
• Inversiones de cada alternativa
• Modelo económico-financiero
• Selección alternativa idónea
• Dimensionamientos detallados, equipamiento e instalaciones
• Aspectos operacionales, organizacionales y procedimentales</t>
  </si>
  <si>
    <t>38.002,65 $</t>
  </si>
  <si>
    <t>Pista de 2.200 m de longitud, plataforma de 10.000 m2, edificio terminal de 3.200 m2 con 4 mostradores de facturación y 2 hipódromos de recogida de equipajes</t>
  </si>
  <si>
    <t>003</t>
  </si>
  <si>
    <t>Ballesteros de Calatrava</t>
  </si>
  <si>
    <t>Estudio Aeronáutico del planeamiento de los terrenos urbanos y urbanizables en el POM de Ballesteros de Calatrava</t>
  </si>
  <si>
    <t>11.835,11 $</t>
  </si>
  <si>
    <t>Arellano Arquitectos S.L.</t>
  </si>
  <si>
    <t>Javier Ramírez de Arellano, Arellano Arquitectos, Avenida del Ferrocarril nº6 Bajo Comercial, 13004, Ciudad Real</t>
  </si>
  <si>
    <t>El fin del estudio ha sido analizar las Servidumbres Aeronáuticas del Aeropuerto de Ciudad Real, debido a su afección al término municipal de Ballesteros de Calatrava. Se ha estudiado la posibilidad de edificar en las zonas urbanas y urbanizables, incluyendo las áreas de crecimiento previsto, prorporcionando las alturas máximas posibles en cada área de estudio asegurando la correcta y segura operatividad del aeropuerto.</t>
  </si>
  <si>
    <t>Las tareas a efectuar han incluido la redacción de una memoria y planos, con los siguientes capítulos:
• Alcance y metodología
• Marco Legal
• Emplazamiento y entorno
• Configuración del aeropuerto
• Descripción de las servidumbres aeronáuticas
• Afección a la operación
• Planos de localización, Plan de Ordenación, Servidumbres de Aeródromo e Instalaciones Radioeléctricas, Servidumbres, Altura libre máxima, Mapa de alturas máximas</t>
  </si>
  <si>
    <t>Existe vulneración de servidumbres por el terreno solamente en la zona inferior del área de reparto 3. En el resto de áreas de reparto la altura máxima a que puede situarse un objeto oscila entre 2 m y 37 m</t>
  </si>
  <si>
    <t>004</t>
  </si>
  <si>
    <t>008</t>
  </si>
  <si>
    <t>Alcorcón Norte</t>
  </si>
  <si>
    <t>Estudio Aeronáutico del PGOU. Rectificación para aprobación definitivo. Distrito Norte Alcorcón</t>
  </si>
  <si>
    <t>Alcorcón</t>
  </si>
  <si>
    <t>Febrero 2008</t>
  </si>
  <si>
    <t>7.482,14 $</t>
  </si>
  <si>
    <t>UTE INOCSA-BONILLA y EZQUIAGA ARQUITECTURA</t>
  </si>
  <si>
    <t>Monica Zgaiby, INOSA INGENIERÍA, S.L.</t>
  </si>
  <si>
    <t>El objetivo del estudio ha sido realizar un análisis de las Servidumbres Aeronáuticas del Aeropuerto de Madrid-Cuatro Vientos que afectan al municipio de Alcorcón. Se han analizado las superficies tanto en la configuración actual del aeropuerto como en su desarrollo previsible. Asimismo, se han proporcionado las alturas máximas permitidas en cada zona afectada por las superficies de protección.</t>
  </si>
  <si>
    <t>Las tareas que se han llevado a cabo han sido:
• Análisis de la situación de las servidumbres de aeródromo y radioeléctricas del Aeropuerto de Madrid-Cuatro Vientos (configuración actual y desarrolllo previsible)
• Delimitación de las zonas de afección en el ámbito de estudio
• Utilización de cartografía proporcionada
• Construcción del modelo en tres dimensiones de la superficie del terreno
• Construcción del modelo en tres dimensiones de cada una de las superficies limitadoras 
• Construcción de la superficie envolvente crítica del conjunto de superficies limitadoras
• Delimitación de las intersecciones de las superficies con el terreno elevado a diferentes alturas
• Delimitación de la envolvente sonora en el área afectada
• Cálculo de las máximas alturas posibles en cada zona, correspondientes a las alturas máximas de edificación
• Elaboración del mapa de alturas máximas</t>
  </si>
  <si>
    <t xml:space="preserve">Dentro del área de estudio, tanto de la configuración actual como del desarrollo previsible, no existe ninguna zona que vulnerara las superficies de protección. </t>
  </si>
  <si>
    <t>009</t>
  </si>
  <si>
    <t>Hidracur</t>
  </si>
  <si>
    <t>Asistencia para la Colaboración en la Preparación de la Documentación Técnica Necesaria para el Concurso de AENA: "Ampliación de Aparcamiento Público e Instalación de Marquesinas. Aeropuerto de Murcia-San Javier"</t>
  </si>
  <si>
    <t>Murcia</t>
  </si>
  <si>
    <t>Octubre 2007</t>
  </si>
  <si>
    <t>7.600,53 $</t>
  </si>
  <si>
    <t>Javier Gutiérrez del Olmo Moreda, Delegado HIDRACUR Región de Murcia</t>
  </si>
  <si>
    <t>Se llevó a cabo la preparación de la documentación técnica relativa al concurso "Ampliación del aparcamiento público e instalación de Marquesinas en el Aeropuerto de San Javier (Murcia)"</t>
  </si>
  <si>
    <t>Se han realizado los siguientes trabajos:
• Redacción de la Memoria Técnica para la oferta
• Revisión y adaptación del Programa de Trabajos elaborado en primera instancia por la empresa HIDRACUR
• Presentación de la documentación relativa al concurso y la empresa ante AENA</t>
  </si>
  <si>
    <t>010</t>
  </si>
  <si>
    <t>AGP_CCSJulián_Sups y Servids</t>
  </si>
  <si>
    <t>Estudio aeronáutico servidumbres Centro Comercial San Julián</t>
  </si>
  <si>
    <t>Málaga</t>
  </si>
  <si>
    <t>BLUESUN SPAIN, S.L.</t>
  </si>
  <si>
    <t>José Navarro Pinuaga, BLUESUN SPAIN, S.L.</t>
  </si>
  <si>
    <t>El estudio especificó las limitaciones de altura impuestas en el futuro Centro Comercial San Julián mediante las SLO del aeropuerto. Se indicaron las alturas máximas de construcción en cada área del estudio.</t>
  </si>
  <si>
    <t>El estudio abarcó las siguientes tareas:
• Análisis de la situación de las servidumbres de aeródromo y radioeléctricas del Aeropuerto de Málaga
• Delimitación de las zonas de afección en el ámbito de estudio
• Utilización de cartografía proporcionada
• Proyección en planta del modelo de cada una de las superficies limitadoras
• Construcción de la superficie envolvente crítica
• Cálculo de la máxima altitud sobre el MSL</t>
  </si>
  <si>
    <t>10.857,90 $</t>
  </si>
  <si>
    <t>Existe vulneración de la servidumbre radioeléctrica del GP/ILS para aproximaciones por la pista 32, con una cota máxima de 12,1 m. En el vértice norte de la edificación, la altura máxima sería de 5,4 m.</t>
  </si>
  <si>
    <t>Julio 2008</t>
  </si>
  <si>
    <t>08</t>
  </si>
  <si>
    <t>Casa Ciudad Real</t>
  </si>
  <si>
    <t>Ciudad Real</t>
  </si>
  <si>
    <t>Octubre 2008</t>
  </si>
  <si>
    <t>4.886,06 $</t>
  </si>
  <si>
    <t>Contrato de Apoyo Técnico para alegaciones respecto de las maniobras del Aeropuerto de Ciudad Real</t>
  </si>
  <si>
    <t>Ayala &amp; González, Abogados</t>
  </si>
  <si>
    <t>Ricardo Ayala Martínez, Ayala &amp; González, Abogados, Calle Bravo Murillo, 25 - 1º, 28015 Madrid</t>
  </si>
  <si>
    <t>El objeto del proyecto fue apoyar técnicamente los escritos dirigidos a la Dirección General de Aviación Civil con el objetivo de que se tenga en consideración la existencia de una edificación de uso residencial objeto de sobrevuelos cuando la pista estuviera operativa.</t>
  </si>
  <si>
    <t>El alcance de los servicios fue:
• Análisis de la situación de la vivienda respecto de las maniobras previstas
• Apoyo en la redacción de un primer escrito a la DGAC
• Seguimiento del escrito antes y después de la presentación de maniobras
• Análisis de los procedimientos de aproximación y despegue del Aeropuerto
• Elaboración de una propuesta para optimizar los procedimientos
• Redacción de un informe con las conclusiones del análisis, incorporado en un  nuevo escrito al Registro General del Ministerio de Fomento</t>
  </si>
  <si>
    <t>A tenor de los análisis, se propone un procedimiento consistente en seguir el radial 107 para acto seguido girar siguiendo radial 85, liberando la ZEPA y aumentando la distancia de la proyección del sobrevuelo sobre el núcleo residencial.</t>
  </si>
  <si>
    <t>Pegaso Park</t>
  </si>
  <si>
    <t>Determinación de alturas máximas en las parcelas de la actuación sobre Ciudad Pegaso</t>
  </si>
  <si>
    <t>Madrid</t>
  </si>
  <si>
    <t>Abril 2008</t>
  </si>
  <si>
    <t>Mayo 2008</t>
  </si>
  <si>
    <t>5.321,74 $</t>
  </si>
  <si>
    <t>Pedro Santos, NEXITY ESPAÑA, S.A., Calle Príncipe de Vergara, 38 - 5ºD, 28001 Madrid</t>
  </si>
  <si>
    <t>NEXITY ESPAÑA, S.A.</t>
  </si>
  <si>
    <t>El objeto del estudio fue la determinación de la influencia de las servidumbres aeronáuticas de la configuración del Aeropuerto de Madrid-Barajas, sobre las parcelas edificables de la zona denominada APR 20.07 "Iveco-Pegaso", para determinar si la construcción de dichas parcelas comprometería la seguridad y regularidad de las operaciones del Aeropuerto.</t>
  </si>
  <si>
    <t>El estudio abarcó las siguientes áreas:
• Análisis de la situación de las servidumbres de aeródromo y radioeléctricas del Aeropuerto de Madrid-Barajas respecto de la Ciudad Pegaso
• Cálculo de las alturas máximas de edificación</t>
  </si>
  <si>
    <t>La afección debido a las servidumbres físicas y radioeléctricas permite un rango de alturas máximas permitidas entre 612 y 650 metros.Cualquier altura superior supondría una vulneración y una posible merma de la seguridad y regularidad de las operaciones del Aeropuerto.</t>
  </si>
  <si>
    <t>005</t>
  </si>
  <si>
    <t>Huelva. Rentabilidad</t>
  </si>
  <si>
    <t>Modelo de rentabilidad Aeropuerto de Huelva</t>
  </si>
  <si>
    <t>6.487,29 $</t>
  </si>
  <si>
    <t>INOCSA INGENIERÍA, S.L.</t>
  </si>
  <si>
    <t>Antonio Asenjo, INOCSA INGENIERÍA, S.L.</t>
  </si>
  <si>
    <t>Se realizó el Estudio de Rentabilidad para la Viabilidad del Nuevo Aeropuerto Cristóbal Colón de Hielva. Se estudiaron distintos escenarios, evaluándose la sensibilidad de los principales parámetros económico-financieros del proyecto bajo diversas alternativas.</t>
  </si>
  <si>
    <t>El conjunto de tareas descritas incluyó:
• Desarrollo de una prognosis de tráfico en base a tres posibles escenarios
• Desarrollo de una prognosis de ingresos
• Establecimiento de la inversión en capital fijo
• Estimación de los gastos de operación
• Realización del análisis financiero
• Realización de un análisis de sensibilidad y cálculo</t>
  </si>
  <si>
    <t>En base a los resultados derivados del estudio, se pudieron obtener conclusiones respecto al nivel de riego de la operación, la autosostenibilidad del negocio, y los requerimientos de soporte público.</t>
  </si>
  <si>
    <t>006</t>
  </si>
  <si>
    <t>Ballesteros II</t>
  </si>
  <si>
    <t>Acuerdo de Apoyo a la Tramitación del POM de Ballesteros de Calatrava</t>
  </si>
  <si>
    <t>Estudio y Comercio Internacional, S.A.</t>
  </si>
  <si>
    <t>Manuel Irago García, Presidente, Estudio y Comercio Internacional, S.L., Velázquez 73, Entreplanta derecha, 28006, Madrid</t>
  </si>
  <si>
    <t>Se aportaron conocimientos aeroportuarios, realizando funciones relativas a las afecciones sobre el territorio de las servidumbres aeroportuarias.</t>
  </si>
  <si>
    <t>La lista de servicios abarcó:
• Óptimo desarrollo de la documentación a presentar desde el punto de vista aeronáutico
• Intercesión entre las distintas partes implicadas en la tramitación: Aena y DGAC
• Proposición de alternativas y ofrecimiento de opinión acerca de las soluciones en la tramitación</t>
  </si>
  <si>
    <t>007</t>
  </si>
  <si>
    <t>Fotovoltaico Pegaso Park</t>
  </si>
  <si>
    <t>Afecciones Placas Solares sobre la Operatividad Aeroportuaria en la Actuación "Pegaso Park"</t>
  </si>
  <si>
    <t>12.223,94 $</t>
  </si>
  <si>
    <t>EUROSOFIA, S.L.U.</t>
  </si>
  <si>
    <t>El objeto de la asistencia técnica fue determinar el grado de afección que pudiera representar la utilización de placas solares sobre la operación de las aeronaves en aproximación al Aeropuerto de Madrid-Barajas, además de la propuesta de medidas que eliminaran la posible afección.</t>
  </si>
  <si>
    <t>El estudio incluyó:
• Estudio geométrico de los paneles respecto a las operaciones de aproximación
• Cálculo de las horas de reflexión y sus carcterísticas: insolación, claridad, ángulo, distancia, etc.</t>
  </si>
  <si>
    <t>Se estima que el efecto causado por los paneles solares no afecta a la seguridad de la operación más que el sufrido diariamente en las aproximaciones en las cuales se encuentran reflexiones de luz de mayor intensidad.</t>
  </si>
  <si>
    <t>011</t>
  </si>
  <si>
    <t>013</t>
  </si>
  <si>
    <t>Gran Canaria</t>
  </si>
  <si>
    <t>Estudio Funcional del Área Terminal Campo de Vuelos del Aeropuerto de Gran Canaria</t>
  </si>
  <si>
    <t>32.452,95 $</t>
  </si>
  <si>
    <t>PROINTEC, S.A.</t>
  </si>
  <si>
    <t>José Manuel García Fernández, PROINTEC, S.A.</t>
  </si>
  <si>
    <t>El objeto del proyecto fue analizar la oferta relativa al Estudio Funcional del campo de vuelo y del área terminal del Aeropuerto de Gran Canaria, analizando las capacidades y el cumplimiento de la normativa, así como proponiendo alternativas de mejora.</t>
  </si>
  <si>
    <t>El estudio abarcó distintas tareas:
• Análisis funcional del Edificio Terminal y el Campo de Vuelo
• Cálculo de capacidades de los subsistemas del Edificio Terminal
• Análisis de espacios operativos del Edificio Terminal
• Análisis del tratamiento de los PMR
• Comprobación del cumplimiento de la normativa Anexo 14
• Propuesta de mejoras
• Análisis de la oferta</t>
  </si>
  <si>
    <t>3.185,80 $</t>
  </si>
  <si>
    <t>014</t>
  </si>
  <si>
    <t>Culleredo</t>
  </si>
  <si>
    <t>Servicio Valoración Ofertas Plan General de Ordenación Municipal para el Ayuntamiento de Culleredo en el mes de Octubre de 2008</t>
  </si>
  <si>
    <t>Comisión Técnica de valoración de ofertas</t>
  </si>
  <si>
    <t>2.076,66 $</t>
  </si>
  <si>
    <t>Ayuntamiento de Culleredo</t>
  </si>
  <si>
    <t>Julio Sacristán de Diego, Alcalde de Culleredo</t>
  </si>
  <si>
    <t>El objeto del contrato es formar parte de la Comisión Técnica de valoración de ofertas relativas a la redacción del Plan General de Ordenación Municipal de Culleredo.</t>
  </si>
  <si>
    <t>El alcance propuesto en el cual AIRIA colaboró fue:
• Estudio aeronáutico. Análisis de SLO y de Afecciones Radioeléctricas
• Análisis de exclusiones por Apantallamiento
• Análisis de afección acústica</t>
  </si>
  <si>
    <t>Se realizó la evaluación de ofertas según el alcance propuesto por los ofertantes, el grado de desarrollo y los aspectos a evaluar. Se establecieron unos criterios de evaluación y se asignó una puntuación.</t>
  </si>
  <si>
    <t>09</t>
  </si>
  <si>
    <t>Isolux</t>
  </si>
  <si>
    <t>Colaboración en la preparación del concurso de Aena DIA 1650/08 "Mejora Fiabilidad Sistema Eléctrico en el Aeropuerto de Barcelona"</t>
  </si>
  <si>
    <t>Barcelona</t>
  </si>
  <si>
    <t>Enero 2009</t>
  </si>
  <si>
    <t>Febrero 2009</t>
  </si>
  <si>
    <t>5.192,47 $</t>
  </si>
  <si>
    <t>ISOLUX CORSÁN</t>
  </si>
  <si>
    <t>Susana Cabanillas Blanco, ISOLUX CORSÁN, Caballero Andante, 8, 28021, Madrid</t>
  </si>
  <si>
    <t xml:space="preserve">El objeto del contrato fue la realización y ejecución de las obras del proyecto para la mejora del sistema eléctrico del Aeropuerto de Barcelona. </t>
  </si>
  <si>
    <t>El alcance de las tareas incluyó:
• Redacción de memoria descriptiva con descripción de la concepción global de la obra, actividades y procesos constructivos, necesidades de acopios e instalaciones auxiliares, estudio de medios de transporte, desvíos y zonas previstas como vertederos
• Realización del Programa de Trabajo
• Especificación del Plazo de ejecución
• Definición de Plan de Control de Calidad
• Definición de Programa de Actuaciones Medioambientales
• Redacción de Memoria de Seguridad y Salud</t>
  </si>
  <si>
    <t>Collosa</t>
  </si>
  <si>
    <t>Colaboración en la preparación del concurso de Aena Exp. DIA 1668/08 Nuevas Galerías Eléctricas de Interconexión en el Aeropuerto de Alicante</t>
  </si>
  <si>
    <t>Alicante</t>
  </si>
  <si>
    <t>Marzo 2009</t>
  </si>
  <si>
    <t>6.490,59 $</t>
  </si>
  <si>
    <t>COLLOSA</t>
  </si>
  <si>
    <t>José Antonio Cantalapiedra Puentes, Calle Aluminio nº17, 47012 Valladolid</t>
  </si>
  <si>
    <t>COLLOSA realiza una redacción complementaria con comentarios sobre los documentos entregables proporcionados.</t>
  </si>
  <si>
    <t>Modelos Gestión GV</t>
  </si>
  <si>
    <t>Contrato de Consultoría y Asistencia de Redacción del Documento Propuestas de Sistemas de Gestión en los Aeropuertos de la Comunidad Valenciana</t>
  </si>
  <si>
    <t>Comunitat Valenciana</t>
  </si>
  <si>
    <t>Abril 2009</t>
  </si>
  <si>
    <t>Mayo 2013</t>
  </si>
  <si>
    <t>Generalitat Valenciana</t>
  </si>
  <si>
    <t>Luis García de Blas, Presidente TRAVEL RETAIL CONSULTING S.L, Calle Víctor Andrés Belaúnde, 6, 1ºA, 28016 Madrid</t>
  </si>
  <si>
    <t>El objeto del proyecto fue la definición de las obras necesarias para la construcción de unas galerías eléctricas de interconexión que complete la red proyectada en el Proyecto Nuevo Área Terminal en el Aeropuerfto de Alicante (NAT).</t>
  </si>
  <si>
    <t>El alcance del proyecto incluyó las siguientes tareas:
• Redacción de la Memoria Técnica
• Revisión y adaptaciçon del Programa de Trabajos</t>
  </si>
  <si>
    <t xml:space="preserve">El proyecto consistió en la evaluación de modelos de gestión ya establecidos y la generación de alternativas de gestión a la ejercida por Aena en los aeropuertos de interés general. </t>
  </si>
  <si>
    <t>120.968,88 $</t>
  </si>
  <si>
    <t>Se realiza resolución de contrato por parte de la Generalitat Valenciana.</t>
  </si>
  <si>
    <t>Capacidad Demanda</t>
  </si>
  <si>
    <t>Elaboración de los estudios de Capacidad/Demanda para los Aeropuertos de Bilbao y Almería</t>
  </si>
  <si>
    <t>Bilbao/Almería</t>
  </si>
  <si>
    <t>Mayo 2009</t>
  </si>
  <si>
    <t>Agosto 2009</t>
  </si>
  <si>
    <t>6.389,40 $</t>
  </si>
  <si>
    <t>6.389,.40 $</t>
  </si>
  <si>
    <t>María José Dominguez Betoret, INECO, Avenida Partenón 4-6, 28042 Madrid</t>
  </si>
  <si>
    <t>El proyecto involucró la determinación del balance entre la capacidad de los diferentes subsistemas de los Aeropuertos de Bilbao y Almería con sus respectivas previsiones del tráfico aéreo.</t>
  </si>
  <si>
    <t>El alcance de los trabajos incluyó distintas fases, con sus respectivas actividades:
• Fase I. Preselección de modelos.
• Fase II. Aeropuertos Imagen.
• Fase III. Contribución de expertos.
• Fase IV. Diagnóstico.
• Fase V. Propuestas.
• Fase VI. Conclusiones.</t>
  </si>
  <si>
    <t>El estudio llevado a cabo se compuso de:
•Resumen gráfico de los valores de capacidad calculada en campo de vuelo, plataforma, terminal y aparcamiento.
• Presentación de los resultados de balance de capacidad y demanda según las actuaciones planificadas y aprobadas.
• Valores de las previsiones de tráfico aéreo.
• Dossier con los cálculos de capacidad.</t>
  </si>
  <si>
    <t>7,88/1,86 (2025)</t>
  </si>
  <si>
    <t>Helipuerto Costa del Sol</t>
  </si>
  <si>
    <t>Revisión y Tramitación de Documentación para la solicitud de establecimiento de un helipuerto en el Hospital Costa del Sol de Marbella</t>
  </si>
  <si>
    <t>Marbella</t>
  </si>
  <si>
    <t>ASSIGNIA INFRAESTRUCTURAS, S.A.</t>
  </si>
  <si>
    <t>Junio 2009</t>
  </si>
  <si>
    <t>Septiembre 2009</t>
  </si>
  <si>
    <t>5.355,19 $</t>
  </si>
  <si>
    <t>Antonio España Villasante, ASSIGNIA INFRAESTRUCTURAS, S.A.</t>
  </si>
  <si>
    <t>El proyecto desarrolló los servicios necesarios para la revisión de la documentación aportada al objeto de solicitar el establecimiento de un helipuerto en el Hospital Costa del Sol en Marbella, revisando los aspectos técnicos y administrativos oportunos.</t>
  </si>
  <si>
    <t>El proyecto englobó las siguientes actividades:
• Desarrollo de un Estudio Aeronáutico
• Desarrollo de Documentación Administrativa
• Redacción de Memoria a efectos de tramitación Medioambiental
• Redacción de Estudio funcional
• Consecución de los trámites administrativos con Aviación Civil</t>
  </si>
  <si>
    <t>Se adjuntó la documentación necesaria para la tramitación de la Fase 2 de las Normas para la Solicitud de Establecimiento de Helipuertos Privados</t>
  </si>
  <si>
    <t>Previsión Demanda</t>
  </si>
  <si>
    <t>Apoyo a la elaboración de metodologías de previsión de tráfico aéreo</t>
  </si>
  <si>
    <t>Julio 2009</t>
  </si>
  <si>
    <t>Noviembre 2009</t>
  </si>
  <si>
    <t>22.423,56 $</t>
  </si>
  <si>
    <t>José Luis Pardo de Santayana Sicluna, Dirección de Consultoría Aeronáutica, INECO, Avenida Partenón, 4-6 5º Planta, 28042 Madrid</t>
  </si>
  <si>
    <t>El objeto del proyecto fue la determinación de los factores subyacentes que inciden en la modificación de los parámetros básicos que definen la demanda de tráfico futuro, su cualificación y su pauta respectiva.</t>
  </si>
  <si>
    <t xml:space="preserve">El alcance de las tareas destinadas al apoyo en la elaboración de metodologías de previsión de tráfico aéreo incluyó el estudio de las causas subyacentes que afectan a la demanda, la definición del concepto área de influencia, sus consideraciones para su determinación y un conjunto de encuestas para el análisis posterior. </t>
  </si>
  <si>
    <t>012</t>
  </si>
  <si>
    <t>Egipto</t>
  </si>
  <si>
    <t>Apoyo en la redacción del Plan Director del Aeropuerto de Sharm El Sheikh</t>
  </si>
  <si>
    <t>Sharm El Sheikh</t>
  </si>
  <si>
    <t>Abril 2010</t>
  </si>
  <si>
    <t>Servicio de apoyo</t>
  </si>
  <si>
    <t>207.926,40 $</t>
  </si>
  <si>
    <t>José Manuel García Fernández, Director División de Aeropuertos, PROINTEC, S.A., Avenida Burgos 12, 28036 Madrid</t>
  </si>
  <si>
    <t>La prestación de servicios tuvo por objetivo la aportación de medios y personas cualificadas para la redacción de los documentos integrantes del Plan Director de la infraestructura.</t>
  </si>
  <si>
    <t>El alcance de los servicios incluyó la redacción y desarrollo de los siguientes entregables:
• Investory of Existing Conditions and Studies
• Initial Airport Development Plan
• Final Airport Development Plan
• Master Plan Executive Report
• Drawings</t>
  </si>
  <si>
    <t>152.438,00 $</t>
  </si>
  <si>
    <t>Se realizó una adenda al contrato por mayor carga de trabajo</t>
  </si>
  <si>
    <t>015</t>
  </si>
  <si>
    <t>Dragados_Central eléctrica</t>
  </si>
  <si>
    <t>Oferta de colaboración en la preparación del concurso de Aena DIA 1145/09 "Nueva Central Eléctrica en el Aeropuerto de Santiago"</t>
  </si>
  <si>
    <t>Santiago</t>
  </si>
  <si>
    <t>Colaboración</t>
  </si>
  <si>
    <t>8.836,87 $</t>
  </si>
  <si>
    <t>DRAGADOS</t>
  </si>
  <si>
    <t>Melisa Valdevira Martín, Departamento de Estudios Galicia Edificación, Avenida Finisterre 25, 1º, 15004 A Coruña</t>
  </si>
  <si>
    <t xml:space="preserve">El servicio incluyó la preparación de la documentación técnica necesaria para el concurso de AENA "Nueva Central Eléctrica en el Aeropuerto de Santiago". </t>
  </si>
  <si>
    <t>El alcance de las tareas incluye:
• Redacción de la Memoria Técnica de la oferta
• Revisión y adaptación del Programa de Trabajos</t>
  </si>
  <si>
    <t>016</t>
  </si>
  <si>
    <t>GHESA AdM</t>
  </si>
  <si>
    <t>Aeródromo del Suroeste de la Comunidad de Madrid</t>
  </si>
  <si>
    <t>Noviembre 2010</t>
  </si>
  <si>
    <t>Marzo 2010</t>
  </si>
  <si>
    <t>10.656,23 $</t>
  </si>
  <si>
    <t>Miguel Ángel Hernández, GHESA, Calle de San Bernardo, 123, 7º, 28015 Madrid</t>
  </si>
  <si>
    <t>GHESA, Ingeniería y Tecnología, S.A.</t>
  </si>
  <si>
    <t>El servicio incluyó el desarrollo de distintas tareas relacionadas con la revisión de estudios iniciales, el estudio de la torre de control, así como los requisitos relativos a la terminal VIP.</t>
  </si>
  <si>
    <t>El trabajo incluyó las siguientes actividades:
• Informes de tráfico aéreo, de compatibilidad de espacio aéreo, análsiis de la flota, estudio de longitud de pista, alternativas de ubicación, documento de inicio, datos meteorológicos
• Estudio de emplazamiento de la torre de control y el edificio anexo</t>
  </si>
  <si>
    <t>017</t>
  </si>
  <si>
    <t>VÍAS</t>
  </si>
  <si>
    <t>Oferta de colaboración en la preparación del concurso de Aena PBR 1107/09 "Urbanización Plan Especial de Ordenación del Subsistema 1.7 de Protección Ambiental Costa (Plan Director) y Adecuación Ambiental Accesos del Aeropuerto de Barcelona"</t>
  </si>
  <si>
    <t>Diciembre 2009</t>
  </si>
  <si>
    <t>5.712,56 $</t>
  </si>
  <si>
    <t>Vías y Construcciones, S.A.</t>
  </si>
  <si>
    <t>Ruth García, Vías y Construcciones, S.A., Calle Orense 11, 28021 Madrid</t>
  </si>
  <si>
    <t xml:space="preserve">El servicio incluyó la preparación de la documentación técnica necesaria para el concurso de Aena PBR 1107/09 "Urbanización Plan Especial de Ordenación del Subsistema 1.7 de Protección Ambiental Costa (Plan Director) y Adecuación Ambiental Accesos del Aeropuerto de Barcelona" </t>
  </si>
  <si>
    <t>La documentación objeto del trabajo incluyó:
• Memoria y Programa de Trabajos
• Calidad
• Programa de Actuaciones Medioambientales
• Memoria de Seguridad y Salud
• Tecnología
• Documentación Complementaria (Estudio de Operatividad, Análisis del Proyecto, Unidades de Obra, Programa de Vigilancia Ambiental, Parque de Marquinaria, Certificados y Acreditaciones)</t>
  </si>
  <si>
    <t>018</t>
  </si>
  <si>
    <t>Culleredo II</t>
  </si>
  <si>
    <t>Estudio Aeronáutico sobre la Viabilidad de Edificación en las Áreas O Picouso y S-1 RE</t>
  </si>
  <si>
    <t>12.778,81 $</t>
  </si>
  <si>
    <t>Maestro Mateo Diseño, S.L.</t>
  </si>
  <si>
    <t>Victoria Brandariz, Maestro Mateo Diseño, S.L., Teléfono: 981.14.37.17</t>
  </si>
  <si>
    <t>Se hizo necesaria la participación de una asesoría técnica en materia aeroportuaria para realizar un estudio aeronáutico que fijara las cotas máximas a las que  pudieran llegar las edificaciones del ámbito afectado por las servidumbres aeronáuticas e incluyese la documentación necesaria.</t>
  </si>
  <si>
    <t>El estudio aeronáutico abarcó las siguientes áreas:
• Estudio de las Servidumbres de Aeródromo y radioeléctricas del Aeropuerto de A Coruña respecto del término municipal de Culleredo (SUNP-Área 1)
• Delimitación de las intersecciones de la Superficie Horizontal Interna con el terreno
• Definición de exenciones a las servidumbres
• Delimitación de la envolvente de los puntos más restrictivos de las superficies relativas a las Servidumbres y sus exenciones
• Delimitación de las intersecciones de la familia de superficies y sus exenciones con el terreno elevado
• Cálculo de las máximas alturas posibles en cada zona (edificación)
• Elaboración del mapa de alturas máximas</t>
  </si>
  <si>
    <t>Se remitió la documentación prevista para que el Ayuntamiento la enviara a AENA.</t>
  </si>
  <si>
    <t>019</t>
  </si>
  <si>
    <t>Dragados_Zonas comerciales</t>
  </si>
  <si>
    <t>Palma de Mallorca</t>
  </si>
  <si>
    <t>5.983,30 $</t>
  </si>
  <si>
    <t>María Bravo Bermejo, Dirección Estudios, Avenida Camino de Santiago 50, 28050 Madrid</t>
  </si>
  <si>
    <t>Para la Preparación de la Documentación Técnica necesaria para el Concurso de Aena Expediente Aena 1083/09, el alcance fue la Redacción del Estudio de Operatividad de la oferta, incluyendo los planos y anexos necesarios.</t>
  </si>
  <si>
    <t>Dentro del alcance, las tareas definidas fueron:
• Estudio y Resumen de Operatividad: interferencias, servicios afectados y análisis de seguridad operacional. Con el estudio de operatividad se enunciaron las medidas para minimizar las afecciones operativas de las obras sobre la actividad aeroportuaria. Se abordaron aspectos como la ordenación del proceso constructivo, la forma de ejecución de las actividades complejas, los periodos de ejecución y las acciones necesarias para reducir el riesgo de las operaciones aéreas
• Planos de implantación</t>
  </si>
  <si>
    <t>020</t>
  </si>
  <si>
    <t>COMSA IBZ</t>
  </si>
  <si>
    <t>Asistencia Técnica para el Análisis de la Operatividad de la Pista de Vuelo del Aeropuerto de Ibiza</t>
  </si>
  <si>
    <t>Ibiza</t>
  </si>
  <si>
    <t>6.584,34 $</t>
  </si>
  <si>
    <t>COMSA, S.A.</t>
  </si>
  <si>
    <t>En relación al expediente DIA 596/07 relativo a "Mejoras de Capa de Rodadura en Pista de Vuelo en el Aeropuerto de Ibiza", se produjeron discrepancias respecto al resultado final de la ejecución entre la compañía adjudicataria y el ente público. En consecuencia, se encargó a AIRIA el análisis y estudio del estado de la pista después de las actuaciones de recrecido.</t>
  </si>
  <si>
    <t>Se redactó un informe que detalló si las prestaciones eran las adecuadas para garantizar la seguridad operacional y los criterios de confort. Se analizaron los parámetros relativos a la regularidad superficial, la macrotextura, y el coeficiente de rozamiento transversal, teniendo en cuenta tanto las mediciones anteriores como el actual estado de las características de la pista de vuelo.</t>
  </si>
  <si>
    <t>Xavier Gabarró Sust, Delegado de la Delegación Cataluña I de la Dirección de Obra Civil Nordeste, Carrer Viriato 47, Edificio Numancia 1, 4º Planta, 08014 Barcelona</t>
  </si>
  <si>
    <t>A partir de los resultados del análisis, se pudo concluir que los niveles de calidad obtenidos fueron aceptables, cumpliendo con las condiciones de confort, seguridad y operatividad exigibles a una pista de vuelo.</t>
  </si>
  <si>
    <t>021</t>
  </si>
  <si>
    <t>Dragados_Adecuación Fact-Emb</t>
  </si>
  <si>
    <t>Oferta de colaboración en la preparación del concurso de Aena "Construcción de Zonas Comerciales en Módulo C del Aeropuerto de Palma de Mallorca"</t>
  </si>
  <si>
    <t>4.884,10 $</t>
  </si>
  <si>
    <t>Para la Preparación de la Documentación Técnica necesaria para el Concurso de Aena Expediente Aena 1157/09, el alcance fue la Redacción del Estudio de Operatividad de la oferta, incluyendo los planos y anexos necesarios.</t>
  </si>
  <si>
    <t>Oferta de colaboración en la preparación del concurso de Aena "Adecuación Áreas de Facturación y Embarque. Base Aérea Abierta al Tráfico Civil de San Javier-Murcia"</t>
  </si>
  <si>
    <t>Se tuvieron en cuenta las posibles interferencias con otros expedientes, en particular:
• La construcción de nuevos puestos de control fuera del Edificio Terminal</t>
  </si>
  <si>
    <t>Se tuvieron en cuenta las posibles interferencias con otos expedientes, a saber:
• Ampliación Módulo C
• Obras de Plataforma frente a Nuevo Edificio Terminal
• Traslado de Locales Comerciales Existentes</t>
  </si>
  <si>
    <t>022</t>
  </si>
  <si>
    <t>Transición AGP</t>
  </si>
  <si>
    <t>Elaboración de un día tipo y programación de vuelos para la puesta en explotación de la ampliación del Aeropuerto de Málaga</t>
  </si>
  <si>
    <t>Enero 2010</t>
  </si>
  <si>
    <t>11.576,74 $</t>
  </si>
  <si>
    <t>Aena</t>
  </si>
  <si>
    <t>Ignacio Fernández-Cuenca, Área de Explotación, Teléfono 91.321.18.44</t>
  </si>
  <si>
    <t>El objeto del proyecto fue la elaboración de una Programación de Vuelos para la puesta en marcha en explotación del Aeropuerto de Málaga, según la programación de actuaciones relativas al comienzo de la operación de las aeronaves en la Nueva Terminal.</t>
  </si>
  <si>
    <t>Las tareas que compusieron la asistencia técnica se articularon en distintas fases a partir de las siguientes actividades:
• Investigación de la programación de vuelos
• Selección del día tipo
• Investigación del mercado
• Construcción de la Programación de Vuelos final</t>
  </si>
  <si>
    <t>El total de movimientos previstos fue de 256 operaciones al día.</t>
  </si>
  <si>
    <t>023</t>
  </si>
  <si>
    <t>Dragados_MAD</t>
  </si>
  <si>
    <t>Oferta de colaboración en la preparación de los concursos de Aena DIA 1158/09 "Nuevas Zonas Comerciales en los Terminales T1, T2 y T3 del Aeropuerto de Madrid-Barajas" y DIA 1156/09 "Remodelación de pasillo de T2 en Planta Primera. Aeropuerto de Madrid-Barajas"</t>
  </si>
  <si>
    <t>8.609,45 $</t>
  </si>
  <si>
    <t>Para la preparación de las documentaciones técnicas necesarias para los concursos, se definió el siguiente alcance:
• Redacción del Estudio de Operatividad de la oferta</t>
  </si>
  <si>
    <t>Ambos expedientes se iban a realizar en el mismo periodo temporal.</t>
  </si>
  <si>
    <t>10</t>
  </si>
  <si>
    <t>Helipuerto Son Dureta</t>
  </si>
  <si>
    <t>Asistencia Técnica para la Autorización de Helipuerto Privado en el Hospital de Son Dureta (Palma de Mallorca)"</t>
  </si>
  <si>
    <t>Febrero 2010</t>
  </si>
  <si>
    <t>Noviembre 2011</t>
  </si>
  <si>
    <t>39.960,85 $</t>
  </si>
  <si>
    <t>PROMEC</t>
  </si>
  <si>
    <t>Ismael Albarrán, Director de Proyectos, Arroyofresno 19, 28035 Madrid</t>
  </si>
  <si>
    <t>El proyecto tuvo por objetivo la aportación de medios y personas para la obtención de la autorización del establecimiento de un helipuerto privado en el Hospital de Son Dureta.</t>
  </si>
  <si>
    <t>Los trabajos de legalización del helipuerto se desarrollaron en tres fases:
• Fase I. Consulta Previa: presentación del documento de compatibilidad del espacio aéreo.
• Fase II. Solicitud de Establecimiento: Estudio Aeronáutico, Estudio de Impacto Ambiental y documentación administrativa
• Fase III. Seguimiento: apoyo en la tramitación de la documentación administrativa</t>
  </si>
  <si>
    <t>El nombre definitivo del Nuevo Hospital fue Son Espases, no Son Dureta.</t>
  </si>
  <si>
    <t>Urbajar</t>
  </si>
  <si>
    <t>Oferta de colaboración en la preparación de los concursos de Aena DIA 1156/09 "Remodelación de pasillo de T2 en Planta Primera. Aeropuerto de Madrid-Barajas", DIA 1158/09 "Nuevas Zonas Comerciales en los Terminales T1, T2 y T3 del Aeropuerto de Madrid-Barajas", DIA 1264/09 "Nuevos Hangares de Aviación Ligera en el Aeropuerto de Córdoba" y DIA 177/10 "Techado y ampliación del Patio de Carrillos del Aeropuerto de Asturias"</t>
  </si>
  <si>
    <t>Mayo 2010</t>
  </si>
  <si>
    <t>25.990,80 $</t>
  </si>
  <si>
    <t>URBAJAR</t>
  </si>
  <si>
    <t>Manuel García Lázaro, Departamento de Estudios, Tlf. 91.434.09.40</t>
  </si>
  <si>
    <t>El objeto del Memorando de Entendimiento fue la elaboración de ofertas para obras aeroportuarias y la ejecución de obras para clientes públicos.</t>
  </si>
  <si>
    <t>Los servicios y actividades a desarrollar incluyeron:
• Descripción de la obra
• Relación de Materiales
• Estudio de detalle
• Estudio de operatividad
• Programa de Trabajos
• Calidad
• Programa de Actuaciones Medioambientales
• Memoria de Seguridad y Salud
• Tecnología</t>
  </si>
  <si>
    <t>Dragados_BIO</t>
  </si>
  <si>
    <t>Bilbao</t>
  </si>
  <si>
    <t>Elaboración del Estudio de Operatividad y Seguridad del concurso Aena DIA 1214/09 "Adecuación del Campo de vuelos en el Aeropuerto de Bilbao"</t>
  </si>
  <si>
    <t>5.171,09 $</t>
  </si>
  <si>
    <t>DRAGADOS, S.A.</t>
  </si>
  <si>
    <t>Para la preparación de la documentación técnica necesaria para el concurso, se definió el siguiente alcance:
• Redacción del Estudio de Operatividad de la oferta</t>
  </si>
  <si>
    <t>A la hora de la consecución de la documentación técnica, se tuvieron en cuenta las interferencias con los demás expedientes, relativos a la ampliación de la plataforma de aeronaves, la adecuación de la zona de carga del polígono, el traslado de hangares, y las actuaciones sobre los viales.</t>
  </si>
  <si>
    <t>San José Plata Córdoba</t>
  </si>
  <si>
    <t>Oferta de colaboración en la preparación del concurso de Aena DIA 1265/09 "Actuaciones en Plataforma en el Aeropuerto de Córdoba"</t>
  </si>
  <si>
    <t>Córdoba</t>
  </si>
  <si>
    <t>10.737,45 $</t>
  </si>
  <si>
    <t>CONSTRUCTORA SAN JOSÉ, S.A.</t>
  </si>
  <si>
    <t>Juan José Salá, Constructora San José S.A., Ronda de Poniente 11, 28760 Tres Cantos</t>
  </si>
  <si>
    <t>Para la preparación de la documentación técnica necesaria para el concurso, se definió el siguiente alcance:
• Redacción de la Oferta Técnica de acuerdo a los requerimientos especificados
• Revisión y adaptación del Programa de Trabajos</t>
  </si>
  <si>
    <t>Los servicios y actividades a desarrollar incluyeron:
• Descripción de la obra
• Relación de Materiales
• Estudio de detalle
• Estudio de operatividad
• Programa de Trabajos
• Calidad
• Programa de Actuaciones Medioambientales
• Memoria de Seguridad y Salud
• Tecnología
También se abordaron aspectos como la ordenación del proceso constructivo, los periodos de actuación, las actuaciones necesarias para reducir el riesgo sobre la viabilidad de las operaciones aéreas, y las medidas adicionales en seguridad.</t>
  </si>
  <si>
    <t>El plazo previsto de ejecución del expediente, en caso de ser adjudicado, sería de 12 meses, a contar desde la misma fecha de adjudicación.</t>
  </si>
  <si>
    <t>Dragados BIO_vallado</t>
  </si>
  <si>
    <t>Elaboración del Estudio de Operatividad y Seguridad del concurso de Aena DIA 1344/09 "Camino de Seguridad y Vallado Perimetral en el Aeropuerto de Bilbao"</t>
  </si>
  <si>
    <t>4.071,89 $</t>
  </si>
  <si>
    <t>Alfonso Mata González, Dirección de Estudios, Avenida Camino de Santiago, 50 Edificio 2 - 1ª Planta, 28050 Madrid</t>
  </si>
  <si>
    <t>Para la preparación de la documentación técnica necesaria para el concurso, se definió el siguiente alcance:
• Redacción del Estudio de Operatividad de la oferta 
• Redacción del resumen del Estudio de Operatividad de la oferta</t>
  </si>
  <si>
    <t xml:space="preserve">Dentro del alcance de la colaboración, se definieron las siguientes tareas:
• Estudio y resumen de operatividad: interferencias, servicios afectados y análisis de seguridad operacional.
Se abordaron aspectos como la ordenación del proceso constrcutivo, la forma de ejecución de las actividades complejas, los periodos de actuación, las acciones necesarias para reducir el riesgo sobre la viabilidad de las operaciones aéreas, y las medidas adicionales en seguridad. Asimismo, se incluyó un apartado e Seguridad Operacional.  </t>
  </si>
  <si>
    <t xml:space="preserve">Se prestó atención a la incidencia que pudiera tener el proyecto "Regeneración Superficial de Pavimentos y Accesos a la Terminal y Carreteras Perimetrales" </t>
  </si>
  <si>
    <t>Otaduy</t>
  </si>
  <si>
    <t>Oferta de colaboración en la preparación de los concursos de Aena DIA 1214/09 "Adecuación del Campo de Vuelos del Aeropuerto de Bilbao" y DIA 1344/09 "Camino de Seguridad y Vallado Perimetral en el Aeropuerto de Bilbao"</t>
  </si>
  <si>
    <t>11.912,45 $</t>
  </si>
  <si>
    <t>OTADUY Construcciones</t>
  </si>
  <si>
    <t>Juan Carlos Otaduy, OTADUY Construcciones, juancarlos@enrique-otaduy.com</t>
  </si>
  <si>
    <t>Para la preparación de la documentación técnica necesaria para los concursos, se definió el siguiente alcance:
• Redacción del Estudio de Operatividad de la oferta 
• Redacción del resumen del Estudio de Operatividad de la oferta
• Redacción del apartado "Aplicación de Tecnologías a las obras" de la oferta</t>
  </si>
  <si>
    <t xml:space="preserve">Dentro del alcance de la colaboración, se definieron las siguientes tareas:
• Estudio y resumen de operatividad: interferencias, servicios afectados y análisis de seguridad operacional.
Se abordaron aspectos como la ordenación del proceso constrcutivo, la forma de ejecución de las actividades complejas, los periodos de actuación, las acciones necesarias para reducir el riesgo sobre la viabilidad de las operaciones aéreas, y las medidas adicionales en seguridad. Asimismo, se incluyó un apartado e Seguridad Operacional.
• Apartado de aplicación de tecnologías a las obras
</t>
  </si>
  <si>
    <t>Se prestó atención a la incidencia que pudieran tener los siguientes proyectos:
• Ampliación de la plataforma norte de estacionamiento de aeronaves
• Ampliación del Edificio Terminal de Pasajeros norte
• Adecuación de la zona de carga del aeropuerto</t>
  </si>
  <si>
    <t>8.995.424,31 € (DIA 1214/09)</t>
  </si>
  <si>
    <t>Grúas Ibiza</t>
  </si>
  <si>
    <t>Estudio Aeronáutico sobre la afección de las grúas de construcción en el Parador Nacional de Ibiza</t>
  </si>
  <si>
    <t>9.443,32 $</t>
  </si>
  <si>
    <t>Miguel León, Arquitecto Técnico, Plaza de la Catedral, s/n, 07800 Eivissa</t>
  </si>
  <si>
    <t>El alcance del estudio incluyó la determinación de la altura máxima sobre nivel del mar que las grúas pudieran adoptar, proponiendo medidas de mitigación de riesgos para las operaciones en caso de resultar insuficientes.</t>
  </si>
  <si>
    <t>El estudio abarcó las siguientes actividades:
• Estudio de las Servidumbres de Aeródromo y radioeléctricas del Aeropuerto de Ibiza
• Análisis de la afección de dicha instalación sobre las superficies más restrictivas
• Detalle de las OAS de la aproximación instrumental de cada pista de vuelo
• Determinación de la posible afección a la envolvente más restrictiva de las superficies y el posterior análisis de afección a la seguridad operacional</t>
  </si>
  <si>
    <t>La existencia de grúas no aumentaba la probabilidad de riesgo de colisión, permitiendo la operación de manera segura.</t>
  </si>
  <si>
    <t>SecureBag</t>
  </si>
  <si>
    <t>Oferta de colaboración en la preparación del concurso de Aena MAD/006/09 relativo a la "Concesión de la Instalación, Explotación, Mantenimiento, Reposición y Recaudación de 10 Máquinas de Protección de Equipajes por plastificación, precintado u otro sistema en el Aeropuerto de Madrid/Barajas"</t>
  </si>
  <si>
    <t>19.330,66 $</t>
  </si>
  <si>
    <t>SINAPSIS TRADING SL</t>
  </si>
  <si>
    <t>Fabio Tallin, SINAPSIS TRADING SL</t>
  </si>
  <si>
    <t>Para la preparación de la documentación técnica del concurso, se definió el siguiente alcance:
• Apoyo en la estructuración de la documentación técnica
• Redacción de la documentación relacionada con la exposición del conocimiento del Aeropuerto
• Redacción de la documentación necesaria para la definición y categorización de la demanda de pasajeros, dentro del Plan Comercial
• Revisión de la documentación técnica</t>
  </si>
  <si>
    <t>Para la preparación de la documentación técnica necesaria para el concurso, se definió el siguiente alcance:
• Redacción del Plan de Explotación Comercial</t>
  </si>
  <si>
    <t>La propuesta de los puntos de venta a instalar incluye 4 puntos de venta en la Terminal T1, 1 punto de venta en la T2, y 5 puntos en la Terminal T4.</t>
  </si>
  <si>
    <t>11</t>
  </si>
  <si>
    <t>Dragados_Adecuación rodaje SCQ</t>
  </si>
  <si>
    <t>Elaboración del Estudio de Operatividad y Seguridad del concurso de Aena DIA 83/10 Adecuación calles de rodaje en el Aeropuerto de Santiago</t>
  </si>
  <si>
    <t>Santiago de Compostela</t>
  </si>
  <si>
    <t>4.331,80 $</t>
  </si>
  <si>
    <t>Para la preparación de la documentación técnica para el concurso, se definió el siguiente alcance:
• Redacción del Estudio de Operatividad
• Redacción del resumen del Estudio de Operatividad</t>
  </si>
  <si>
    <t>Dentro del alcance de la colaboración, se definieron las siguientes tareas:
• Estudio y resumen de operatividad: interferencias, servicios afectados y análisis de seguridad operacional.
Se abordaron aspectos como la ordenación del proceso constructivo, la forma de ejecución de las actividades más complejas, los periodos de actuación, el enunciado de las acciones necesarias para reducir el riesgo sobre la viabilidad de las operaciones aéreas y del resto de medidas de seguridad. También se incluyó un apartado de seguridad operacional.</t>
  </si>
  <si>
    <t>Las operaciones que pudieron interferir con el expediente en cuestión fueron:
• DIA 440/07 Nuevo Área Terminal
• DIA 459/08 Calle de Salida Rápida
• DIA 1651/08 Estacionamiento de Aeronaves Zona Sur
• DIA 1670/08 Adecuación del Campo de Vuelos
• DIA 1145/09 Nueva Central Eléctrica</t>
  </si>
  <si>
    <t>Omán</t>
  </si>
  <si>
    <t>Consultancy Services for the Master Plan of proposed Musandam Airport</t>
  </si>
  <si>
    <t>Musandam</t>
  </si>
  <si>
    <t>Octubre 2010</t>
  </si>
  <si>
    <t>84.903,28 $</t>
  </si>
  <si>
    <t>Guillermo Vázquez Cabezas, Paseo de la Habana, 138, 28036 Madrid</t>
  </si>
  <si>
    <t xml:space="preserve">El proyecto consistió en la provisión de servicios de consultoría para el desarrollo del Master Plan en el Aeropuerto de Musandam. </t>
  </si>
  <si>
    <t>La lista de tareas de la colaboración fue:
• Recopilación de la información
• Selección del emplazamiento
• Análisis detallado de la solución
• Plan financiero</t>
  </si>
  <si>
    <t>AIRIA fue encargada de proporcionar la documentación relativa a la determinación de la cantidad de tráfico aéreo presente y futuro.</t>
  </si>
  <si>
    <t>SIMMOD AdM</t>
  </si>
  <si>
    <t>Simulación del Campo de Vuelo: Capacidad de Pista del Aeródromo de Madrid-Suroeste</t>
  </si>
  <si>
    <t>Julio 2010</t>
  </si>
  <si>
    <t>18.456,55 $</t>
  </si>
  <si>
    <t>Navya Solutions</t>
  </si>
  <si>
    <t>Fernando Argüeso Chamorro, Dirección General y Estratégica, Calle Autogiro, 1, 28042 Madrid</t>
  </si>
  <si>
    <t>El expediente consistió en realizar una simulación mediante SIMMOD de los distintos escenarios relativos al estudio de la capacidad del sistema de pistas de vuelo.</t>
  </si>
  <si>
    <t>En primer lugar, se calculó la capacidad teórica máxima del sistema de campo de vuelos, partiendo de distintos parámetros. Una vez configurado el escenario, se simularon el Escenario I (configuración inicial del campo de vuelo), Escenario II (configuración de desarrollo previsible) y otros escenarios alternativos.</t>
  </si>
  <si>
    <t>29 ops/h
42 ops/h Aviación general</t>
  </si>
  <si>
    <t>Otaduy Plataforma Deshielo</t>
  </si>
  <si>
    <t>Oferta de colaboración en la preparación del concurso de Aena DIA 238/10 Plataforma de deshielo en el Aeropuerto de Bilbao</t>
  </si>
  <si>
    <t>6.184,21 $</t>
  </si>
  <si>
    <t>Para la preparación de la documentación técnica necesaria para el concurso, se definió el siguiente alcance:
• Redacción del Estudio de Operatividad
• Redacción del resumen del Estudio de Operatividad
• Redacción del apartado "Aplicación de tecnologías a las obras"</t>
  </si>
  <si>
    <t>Dentro del alcance de la colaboración se definieron las siguientes tareas:
• Estudio y Resumen de operatividad: interferencias, servicios afectados y análisis de seguridad operacional. Se enunciaron las medidas para minimizar las afecciones operativas de las obras sobre la actividad aeroportuaria. 
Se abordaron aspectos como la ordenación del proceso constructivo, la forma de ejecución de las actividades más complejas, y los periodos de ejecución.
• Apartado de Seguridad Operacional para el control de la obra
• Apartado de aplicación de tecnologías a las obras</t>
  </si>
  <si>
    <t>¿?</t>
  </si>
  <si>
    <t>Trabajos se cancelaron por partes de Ortaduy por razones económicas.</t>
  </si>
  <si>
    <t>PSO Pista Menorca</t>
  </si>
  <si>
    <t>Plan de Seguridad Operacional de expediente Aena DIA 359/09 ·Reparación Pavimento de Pista y Calle de Rodaje en el Aeropuerto de Menorca"</t>
  </si>
  <si>
    <t>Menorca</t>
  </si>
  <si>
    <t>Septiembre 2010</t>
  </si>
  <si>
    <t>Sandra Testino Araneta, Técnico de Estudios Aeroportuarios, Tlf. 91.567.28.70, Mail: stestinoa@assignia.com</t>
  </si>
  <si>
    <t>8.679,60 $</t>
  </si>
  <si>
    <t>El objeto del proyecto fue desarrollar un Plan de Seguridad Operacional que estableciese un procedimiento para determinar los requisitos, criterios y pautas precisos para que los trabajos de construcción del expediente se ejecutaran a fin de garantizar la seguridad de las operaciones.</t>
  </si>
  <si>
    <t>El alcance de los servicios incluyó:
• Redacción del Plan de Seguridad Operacional relativo al expediente.
• Desarrollo de las nuevas Superficies Limitadoras de Obstáculos (SLO).</t>
  </si>
  <si>
    <t>Chennai</t>
  </si>
  <si>
    <t>Airspace Consultant Work for the Second Airport in Chennai</t>
  </si>
  <si>
    <t>Agosto 2010</t>
  </si>
  <si>
    <t>13.019,40 $</t>
  </si>
  <si>
    <t>The Louis Berger Group</t>
  </si>
  <si>
    <t>Krishna Murthy, Project Coordinator, Mail: kmurthy@louisberger.com</t>
  </si>
  <si>
    <t>El objeto de la colaboración fue la revisión y aportación en dos tareas:
• Definición de los requisitos para ayudas navegacionales (NAVAIDS), equipamiento de comunicaciones y meteorología, y definición de la localización para la torre de control del nuevo aeropuerto de Chennai.
• Preparación de los planos respecto a las zonas y distribuciones del aeropuerto.
• Definición de los procedimientos de espacio aéreo (SID y STAR)</t>
  </si>
  <si>
    <t xml:space="preserve">El alcance de los servicios incluyó las siguientes tareas:
• Definición de los requisitos relativos a las ayudas navegacionales, y equipamiento de comunicaciones y meteorológico, como ILS/DME, PAPI, Doppler, VOR/DME, e iluminación de pista y campo de vuelo. También se definió la localización de la torre de control y las necesidades de equipamiento.
• Se ilustró la localización de las principales instalaciones, definidas por fases. Se definió el desarrollo último de la ubicación del nuevo aeropuerto.
• Desarrollo de los procedimientos de navegación aérea para llegadas y salidas, así como la organización del espacio aéreo. También se definió el diseño conceptual de las rutas de llegadas y salidas y la definición de la nueva TMA y la sectorización correspondiente. </t>
  </si>
  <si>
    <t>Dragados_TFS</t>
  </si>
  <si>
    <t>Oferta de colaboración en la preparación del concurso de Aena DIA 667/10 "Mejoras Funcionales en el Edificio Terminal y de Varios Sistemas de iluminación en el Entorno Aeroportuario del Aeropuerto de Tenerife Sur"</t>
  </si>
  <si>
    <t>Tenerife</t>
  </si>
  <si>
    <t>4.329,45 $</t>
  </si>
  <si>
    <t>Silvia Guerra Román, Departamento Estudios Edificación, Calle Padre Anchieta 6, 1ª Planta, Tlf. 928.25.08.40, Mail: sguerrar@dragados.com</t>
  </si>
  <si>
    <t>Para la preparación de la documentación técnica necesaria para el concurso, se definió el siguiente alcance:
• Redacción del Estudio de Operatividad de la oferta.
• Redacción del resumen del Estudio de Operatividad de la oferta.</t>
  </si>
  <si>
    <t>Dentro del alcance del expediente, se definieron las siguientes tareas:
• Estudio y resumen de operatividad: interferencias, servicios afectados y análisis de seguridad operacional. Se enunciaron las medidas para minimizar las afecciones operativas de las obras sobre la actividad aeroportuaria.
Se abordaron aspectos como la ordenación del proceso constructivo, la forma de ejecución de las actividades más complejas y los periodos de actuación, así como las medidas para reducir el riesgo sobre la viabilidad de las operaciones aéreas y demás medidas de seguridad.</t>
  </si>
  <si>
    <t>PSO Asturias Assignia</t>
  </si>
  <si>
    <t>Plan de Seguridad Operacional de la obra Reparación Pavimento en cabeceras, DIA 1117/09</t>
  </si>
  <si>
    <t>Asturias</t>
  </si>
  <si>
    <t>Mayo 2011</t>
  </si>
  <si>
    <t>6.494,17 $</t>
  </si>
  <si>
    <t>Antonio Ochoa, Mail: antonio_ochoa@assignia.com</t>
  </si>
  <si>
    <t>Se desarrolló un Plan de Seguridad Operacional conforme a la instrucción operativa interna de Aena, conteniendo una descripción de los trabajos, las afecciones a la operatividad, los riesgos existentes, los condicionantes a los trabajos y los procedimientos para la realización de las inspecciones de seguridad y el seguimiento de las actuaciones.</t>
  </si>
  <si>
    <t xml:space="preserve">El Plan de Seguridad incorporó distintos capítulos relativos a la descripción y localización de los trabajos, las afecciones e implaciones directas, la localización y mitigación de riesgos, la delimitación de los tajos, su señalización e iluminación, la altura de equipos, así como los distintos trabajos de limpieza, evacuación, incidencias...
También se incorporaron los planos respecto a los accesos e implantación en obra, la zonificación de los riesgos temporales, la limitación de alturas y lso demás anexos necesarios. </t>
  </si>
  <si>
    <t>024</t>
  </si>
  <si>
    <t>Tocumen</t>
  </si>
  <si>
    <t>Tocumen Technical Advisory Services</t>
  </si>
  <si>
    <t>Panamá</t>
  </si>
  <si>
    <t>Diciembre 2010</t>
  </si>
  <si>
    <t>20.023,69 $</t>
  </si>
  <si>
    <t>Gabriel Borras, Director of Architecture, Engineering &amp; Planning, Edificio 116, Calle Vicente Bonilla, Ciudad del Saber, Clayton, Ancón, 87-3380 Panamá, Mail: gborras@louisberger.com</t>
  </si>
  <si>
    <t>El alcance contratado comprendió el diseño preliminar y la supervisión y revisión del diseño final de la geometría, señalización e iluminación de las calles de rodaje indicadas.</t>
  </si>
  <si>
    <t>Las tareas a realizar fueron las especificadas a continuación:
• Diseño geométrico preliminar y supervisión y revisión de distintas calles de rodaje.
• Diseño geométrico preliminar y supervisión y revisión del diseño final de una nueva calle de salida rápida.
• Diseño preliminar y supervisión y revisión del diseño final de la señalización, iluminación y letreros de las calles de rodaje.</t>
  </si>
  <si>
    <t>58 operaciones por hora</t>
  </si>
  <si>
    <t>Todos los trabajos fueron realizados de acuerdo con la normativa AAC/OACI, en total coordinación con AeroTocumen S.A.</t>
  </si>
  <si>
    <t>025</t>
  </si>
  <si>
    <t>EA Burgos Prointec</t>
  </si>
  <si>
    <t>Estudio Aeronáutico para la Ampliación de Pista del Aeropuerto de Burgos</t>
  </si>
  <si>
    <t>Burgos</t>
  </si>
  <si>
    <t>7.803,83 $</t>
  </si>
  <si>
    <t>Pedro A. Reina Viedma, Director de Proyecto Sistemas Aeroportuarios, Avenida Burgos 12, Planta 1ª, 28036 Madrid, Mail: preina@prointec.es</t>
  </si>
  <si>
    <t>Para la elaboración del proyecto, se definió el siguiente alcance:
• Definición de alternativas de ampliación, incluyendo planos en planta.
• Cálculo de movimiento de tierras.
• Identificación de servicios afectados.
• Estimación presupuestaria.
• Servidumbres de aeródromo y radioeléctricas.
• Afecciones del y hacia el entorno.</t>
  </si>
  <si>
    <t>El proyecto desarrolló las siguientes actividades:
• Determinación de la longitud de pista.
• Evaluación de los obstáculos del aeropuerto.
• Análisis de la incidencia en el entorno.
• Determinación del presupuesto estimado según la longitud de ampliación de la pista de vuelo.
• Creación de planos.</t>
  </si>
  <si>
    <t>Una ampliación de pista de 1.000 m libraba de penalización a todas las capitales europeas. En cuanto a las penetraciones en las SLO, se consideró que dicha ampliación minimizaba las penetraciones en la medida de lo posible.</t>
  </si>
  <si>
    <t>026</t>
  </si>
  <si>
    <t>EA Gran Canaria Prointec</t>
  </si>
  <si>
    <t>Estudio Aeronáutico para la viabilidad de una construcción en el municipio de Ingenio (Gran Canaria)</t>
  </si>
  <si>
    <t>Ingenio</t>
  </si>
  <si>
    <t>3.247,08 $</t>
  </si>
  <si>
    <t>José Manuel García Fernández, Avenida de Burgos 12, 28036 Madrid</t>
  </si>
  <si>
    <t>El proyecto consistió en el análisis y comprobación de la viabilidad, desde el punto de vista aeronáutico, de la construcción de tres edificios de viviendas, evaluando la compatibilidad con las operaciones aeronáuticas establecidas en el Aeropuerto de Gran Canaria.</t>
  </si>
  <si>
    <t>El alcance del contrato incluyó las siguientes actividades:
• Redacción de la Memoria del contrato: servidumbres aeronáuticas actuales del Aeropuerto de Gran Canaria, afecciones a las servidumbres, situación de los edificios, estudio de apantallamientos.
• Anexos: características constructivas de las edificaciones, levantamiento topográfico.</t>
  </si>
  <si>
    <t>027</t>
  </si>
  <si>
    <t>Otaduy_Adecuación Zona de Carga BIO</t>
  </si>
  <si>
    <t>Oferta de colaboración en la preparación del concurso de Aena DIA 668/10 "Adecuación de la urbanización de la zona de carga del polígono. Aeropuerto de Bilbao"</t>
  </si>
  <si>
    <t>Para la preparación de la documentación técnica necesaria para el expediente, se definió el sigueinte alcance:
• Redacción de la Oferta Técnica de acuerdo a los requerimientos exigidos.</t>
  </si>
  <si>
    <t>Dentro del alcance de la colaboración se definieron las siguientes tareas:
• Concimiento del proyecto y proceso constructivo, con un análisis de las actuaciones.
• Mantenimiento de la operatividad aeroportuaria: interferencias, servicios afectados, fases de ejecución y análisis de seguridad operacional.
• Seguridad operacional: estudio de cumplimiento y Plan de Seguridad Operacional.
• Materiales/subcontratación.
• Estudio de detalle: análisis formal y revisión de mediciones.
• Programa de Traabjos.
• Calidad
• Programa de Actuaciones Medioambientales.
• Memoria de Seguridad y Salud.
• Tecnología.</t>
  </si>
  <si>
    <t>12.447,16 $</t>
  </si>
  <si>
    <t>028</t>
  </si>
  <si>
    <t>Manual de Imagen Aparcamientos</t>
  </si>
  <si>
    <t>Asistencia Técnica para la elaboración de un Manual de Imagen Corporativa de Aparcamientos de los Aeropuertos de Aena</t>
  </si>
  <si>
    <t>Octubre 2011</t>
  </si>
  <si>
    <t>31.902,61 $</t>
  </si>
  <si>
    <t>Jacobo Sanjurjo Díez, Director Expediente DIC 639/10, AENA</t>
  </si>
  <si>
    <t>La asistencia técnica tuvo por objeto la elaboración de un manual de imagen corporativa de aparcamientos de los Aeropuertos de Aena.</t>
  </si>
  <si>
    <t>Los trabajos tuvieron un alcance de:
• Análisis de la normativa existente, detallando las normas, directrices, recomendaciones, o cualquier otro tipo de normativa de aplicación.
• Determinación de los elementos afectados.
• Elaboración del Manual de Imagen Corporativa de los Aparcamientos de la red.
• Realización de un análisis y estudios de definición de elementos de señalización, gráficos, pictogramas, carteles...</t>
  </si>
  <si>
    <t>029</t>
  </si>
  <si>
    <t>Simulación SSH</t>
  </si>
  <si>
    <t>Technical Assistance for Terminal Area Simulation at Sharm El Sheikh International Airport</t>
  </si>
  <si>
    <t>38.965,01 $</t>
  </si>
  <si>
    <t>José Manuel García Fernández, Director del Departamento de Sistemas Aeroportuarios, Aenida de Burgps, 12, 28036 Madrid</t>
  </si>
  <si>
    <t>La asistencia técnica proporcionó respuestas a las siguientes demandas: determinación de la capacidad máxima del Edificio Terminal en términos de análisis de flujo, densidades y retrasos en los procesos.
Se analizaron los sietamas, implementando simulaciones rápidas para emular la futura operación de los elementos objeto de estudio.</t>
  </si>
  <si>
    <t>El trabajo de la asistencia fue estructurado en tres fases distintas, que cubrieron las siguientes actividades:
• Fase I. Preparación de la información para el desarrollo de la simulación: física, lógica, y demanda.
• Fase II. Modelado de la simulación en campo de vuelo y edificio terminal para los horizontes establecidos.
• Fase III. Examinación e implementación de alternativas.</t>
  </si>
  <si>
    <t>Según las simulaciones, se pudo concluir que el nuevo edificio terminal podía acomodar a 10 millones de pasajeros anuales, operando a un nivel de calidad tipo "B". Todos los subsistemas operarían a nivel de calidad "A" menos la zona de control de pasaportes.</t>
  </si>
  <si>
    <t>030</t>
  </si>
  <si>
    <t>Helipuerto Soria</t>
  </si>
  <si>
    <t>Redacción de Proyecto Técnico para la Legalización de Helipuerto en el Hospital de Soria</t>
  </si>
  <si>
    <t>Soria</t>
  </si>
  <si>
    <t>Junio 2012</t>
  </si>
  <si>
    <t>14.747,18 $</t>
  </si>
  <si>
    <t>DRAGADOS,S.A.-PAS INFRAESTRUCTURAS Y SERVICIOS, S.L.</t>
  </si>
  <si>
    <t>Ana María Ramírez Jiménez, Jefe de Producción. Dragados-Pas U.T.E Hospital de Soria, Paseo de Santa Bárbara, 21-Bajo, 42005 Soria, Tlf. 975.233.200, Mail: amramirezj@dragados.com</t>
  </si>
  <si>
    <t>El expediente consistió en la legalización ante AESA del establecimiento de un helipuerto privado en el Hospital de Soria, conteniendo un Estudio aeronáutico, un Estudio de Impacto Ambiental, documentación administrativa y un proyecto, en caso e ser necesario.</t>
  </si>
  <si>
    <t>El trabajo del contrato consistió en la consecución de distintos entregables/documentos, a saber:
• Estudio Aeronáutico: análisis geográfico del entorno, análisis de la viabilidad del emplazamiento, análisis operativo del helipuerto, análisis físico del emplazamiento, análisis meteorológico, estudio del área de movimientos, análisis del espacio aéreo, estudio de las instalaciones aeronáuticas, planos.
También se definió una Memoria Ambiental, exigida en la Norma para el establecimiento de helipuertos.</t>
  </si>
  <si>
    <t>Se realizaron subsanaciones exigidas por AESA.</t>
  </si>
  <si>
    <t>033</t>
  </si>
  <si>
    <t>EA Loeches SUS7 y SUS10</t>
  </si>
  <si>
    <t>Viabilidad de edificación en los Sectores SUS7 y SUS10 del Plan General de Ordenación Urbana del término municipal de Loeches (Madrid)</t>
  </si>
  <si>
    <t>Loeches</t>
  </si>
  <si>
    <t>Evaluación Ambiental, S.L.</t>
  </si>
  <si>
    <t>Miguel Rodríguez Abascal, Director Técnico, Lagasca, 105 1º Dcha., 28006 Madrid, Tlf. 91.411.17.92, Mail: mrodriguez@evaluacionambiental.es</t>
  </si>
  <si>
    <t>El expediente tuvo como objeto el análisis de la propuesta de urbanización de los sectores SUS7 y SUS10 del Plan General de Ordenación Urbana del término municipal de Loeches (Madrid), en cuanto a su viabilidad y compatibilidad con las Servidumbres Aeronáuticas y Acústicas del Aeropuerto de Madrid-Barajas.</t>
  </si>
  <si>
    <t>El trabajo abordó la viabilidad de la propuesta de ordenación, analizó la situación actual de los Sectores SUS7 y SUS10, y su grado de afección con las Servidumbres de Aeródromo y Acústicas del Aeropuerto de Madrid-Barajas. 
Se redactó un informe acerca de las posibilidades de desarrollo de los sectores analizados, apoyando técnicamente al equipo redactor a presentar un Estudio de Viabilidad ante la autoridad aeronáutica competente.</t>
  </si>
  <si>
    <t>La propuesta diseñada para ambos sectores presentaba una probabilidad relativa de éxito, fundamentada en la urbanización de viviendas residenciales. Sin embargo, dicha probabilidad aumentaba si se rediseñaba la propuesta de ordenamiento para incluir usos de suelo menos restrictivos a nivel sonoro.</t>
  </si>
  <si>
    <t>034</t>
  </si>
  <si>
    <t>Proyecto Hangar Teruel</t>
  </si>
  <si>
    <t>Oferta de colaboración en la preparación del contrato de proyecto y obra para el expediente "Redacción del Proyecto Básico para la construcción de un Hangar de Aeronaves en el Aeródromo/Aeropuerto de Teruel"</t>
  </si>
  <si>
    <t>Teruel</t>
  </si>
  <si>
    <t>8.940,31 $</t>
  </si>
  <si>
    <t>2.550.00,00 €</t>
  </si>
  <si>
    <t>Eva Díez Jalón, Tlf. 976.45.81.55, Mail: ediezj@dragados.com</t>
  </si>
  <si>
    <t>Para la preparación de la documentación técnica necesaria, se definió el siguiente alcance:
• Redacción del Proyecto Básico para la Construcción de un Hangar para Aeronaves en el Aeródromo/Aeropuerto de Teruel.
• Redacción del resumen del Estudio de Operatividad de la oferta.
• Redacción del resumen del PLan de Seguridad Operacional.</t>
  </si>
  <si>
    <t>Dentro del alcance de la colaboración se definieron las siguientes tareas:
• Elaboración del Proyecto Básico para la construcción de un Hangar para Aeronaves en el Aeródromo/Aeropuerto de Teruel, conteniendo memorias específicas de la propuesta y la elaboración de planos e infografías.
• Estudio y Resumen de operatividad: interferencias a la operación del aeropuerto y servicios afectados, listado de las medidas necesarias para minimizar las afecciones operativas.
• Plan de Seguridad Operacional: afecciones a la Seguridad Operacional, implicaciones y condiciones de ejecución.
Se abordaron aspectos como ordenación del proceso constructivo, forma de ejecución de las actividades más complejas, períodos de actuación, enunciado de las acciones para reducir el riesgo sobre la viabilidad de las operaciones aéreas y formulación de medidas de seguridad.</t>
  </si>
  <si>
    <t>036</t>
  </si>
  <si>
    <t>COMSA_LECO</t>
  </si>
  <si>
    <t>Realización de la Memoria Técnica de la oferta: "Ampliación de la Pista en el Aeropuerto de A Coruña DIA 944/10"</t>
  </si>
  <si>
    <t>A Coruña</t>
  </si>
  <si>
    <t>10.417,73 $</t>
  </si>
  <si>
    <t>COMSA, S.A.U.</t>
  </si>
  <si>
    <t>Juan Antonio Rodrigo Herrero, Departamento de Estudios, Calle Príncipe de Vergara, 131, 2ª Planta, 28002 Madrid</t>
  </si>
  <si>
    <t>Para la preparación de la documentación técnica necesaria, se definió el siguiente alcance:
• Redacción de la Oferta Técnica de la oferta de acuerdo a los requerimientos.
• Redacción, revisión y adaptación del Programa de Trabajos.
• Realización de infografía en 3D de la ampliación de la pista.</t>
  </si>
  <si>
    <t>Dentro del alcance de la colaboración se definieron las tareas:
• Descripción de la Obra y Proyecto Constructivo, indicando un análisis del proceso de realización de las actuaciones a realizar.
• Relación de Materiales y Subcontratación: estudio de los medios de transporte, de las instalaciones auxiliares de obra, de las zonas de acopios de tierras y materiales y de las zonas de préstamos y vertederos cercanos.
• Estudio de Operatividad: interferencias, servicios afectados, fases de ejecución de los trabajos y análisis de seguridad operacional. También se incluyó un apartado de Seguridad Operacional para el control de la obra.
• Programa de Trabajos.
• Infografía que representara las vistas del edificio acabado de la ampliación de pista.</t>
  </si>
  <si>
    <t>038</t>
  </si>
  <si>
    <t>Helipuerto Hospital de Móstoles</t>
  </si>
  <si>
    <t>Oferta para la colaboración en el diseño y tramitación del Helipuerto Sanitario en el Hospital de Móstoles</t>
  </si>
  <si>
    <t>Móstoles</t>
  </si>
  <si>
    <t>Abril 2011</t>
  </si>
  <si>
    <t>Marzo 2011</t>
  </si>
  <si>
    <t>2.164,72 $</t>
  </si>
  <si>
    <t>Jacint Peiris Pagès, Departamento Infraestructuras y Aeropuertos, Calle Magallanes 1, 1ª Planta, 28015 Madrid, Tlf. 91.309.80.00, Mail: aep@empre.es</t>
  </si>
  <si>
    <t>El servicio a realizar incluyó las tareas de ingeniería para la ubicación, diseño y autorización de un helipuerto en el Hospital de Móstoles, emitida por el Ministerio de Fomento a instancias de la Agencia Española de la Seguridad Aérea (AESA).</t>
  </si>
  <si>
    <t>Los trabajos de análisis de alternativas de emplazamiento y legalización del helipuerto y aprobación de la instalación se desarrolló en una fase previa:
• Análisis previo y evaluación de las alternativas para el emplazamiento del helipuerto. Se realizó un estudio de emplazamiento teniendo en cuenta las condiciones meterológicasde la zona, la orografíay las construcciones existentes.</t>
  </si>
  <si>
    <t>039</t>
  </si>
  <si>
    <t>Video Wall PMI Auditel</t>
  </si>
  <si>
    <t>Colaboración en la elaboración de la oferta para el "Proyecto y Obra Nuevo Centro de Operaciones. Aeropuerto de Palma"</t>
  </si>
  <si>
    <t>El objeto del expediente fue presentar la propuesta de diseño, contemplando las especificaciones funcionales y técnicas de las instalaciones y suministros, mediante ka redacción del Proceso Constructivo y la posterior ejecución de las obras.</t>
  </si>
  <si>
    <t>El alcance de los trabajos iobjeto del contrato incluyó:
• Fase I. Redacción del Proyecto Constructivo, incluyendo distintos capítulos: Trabajos Previos, Proyecto Básico, Proyecto Constructivo, Asistencia Técnica durante la Fase de Ejecución, Plan de Calidad.
• Fase II. Ejecución de las obras.</t>
  </si>
  <si>
    <t>040</t>
  </si>
  <si>
    <t>Dragados_TFN</t>
  </si>
  <si>
    <t>Oferta de colaboración en la preparación del concurso de Aena DIA 898/10 "Adecuación y Mejora del Sistema de Climatización del Edificio Terminal. Aeropuerto de Tenerife Norte"</t>
  </si>
  <si>
    <t>San Cristóbal de La Laguna</t>
  </si>
  <si>
    <t>9.200,07 $</t>
  </si>
  <si>
    <t>Para la preparación de la documentación técnica necesaria para el concurso, se definió el siguiente alcance:
• Redacción del Estudio de Operatividad de la oferta y su resumen.
• Redacción del Plan de Seguridad Operacional de la oferta y su resumen.
• Redacción del Estudio de Detalle y su resumen.</t>
  </si>
  <si>
    <t>Dentro del alcance de la colaboración se definieron las siguientes tareas:
• Estudio y resumen de Operatividad: interferencias, servicios afectados y análisis de seguridad operacional. Se enunciaron las medidas para minimizar las afecciones operativas.
• Plan de Seguridad Operacional y resumen, detallando las afecciones a la Seguridad Operacional de la obra y sus posibles implicaciones.
Se abordaron aspectos como la ordenación del proceso constructivo, la forma de ejecución de las actividades más complejas, los períodos de actuación, las acciones necesarias para reducir el riesgo sobre la viabilidad de las operaciones aéreas y formulación de medidas de seguridad.</t>
  </si>
  <si>
    <t>041</t>
  </si>
  <si>
    <t>Red TETRA MAD</t>
  </si>
  <si>
    <t>Oferta de colaboración en la preparación del concurso de Aena DSI 739/10 "Ampliación Red Comunicaciones TETRA. Aeropuerto de Madrid/Barajas"</t>
  </si>
  <si>
    <t xml:space="preserve">UTE Auditel-Infoglobal </t>
  </si>
  <si>
    <t>Miguel Ángel Spinola, Mail: maspinola@auditel.es</t>
  </si>
  <si>
    <t>El objeto del contrato fue dar respuesta a los requisitos definidos en los Pliegos, detallando los trabajos a realizar, a saber, el suministro e instalación de nodos de comunicación, nuevas estaciones base, estación Base Portátil, un Sistema de Gestión, Sistema de Grabación, puestos de despacho, equipos de conexión del equipamiento TETRA a una red de datos, nuevos sistemas radiantes y diversas interfaces.</t>
  </si>
  <si>
    <t>042</t>
  </si>
  <si>
    <t>Ciclo de Ingresos BCN</t>
  </si>
  <si>
    <t>Servicio de Mejora y Seguimiento de Procedimiento del Ciclo de Ingresos en el Aeropuerto de Barcelona</t>
  </si>
  <si>
    <t>El Prat de Llobregat</t>
  </si>
  <si>
    <t>Enero 2011</t>
  </si>
  <si>
    <t>Octubre 2012</t>
  </si>
  <si>
    <t>251.149,05 $</t>
  </si>
  <si>
    <t>UTE Ingresos Aeropuerto de Barcelona</t>
  </si>
  <si>
    <t>Andrés Bello Sánchez, Director del Expediente de AENA, Mail: abello@aena.es</t>
  </si>
  <si>
    <t>El proyecto consistió en la redacción de la documentación necesaria para la presentación de la oferta relativa al concurso.</t>
  </si>
  <si>
    <t>El objeto del expediente fue revisar el ciclo de ingresos asociado a la prestación de servicios por parte de AENA en el Aeropuerto de Barcelona, con el objetivo de optimizar las funciones a realizar para el aseguramiento del desarrollo de las distintas necesarias.</t>
  </si>
  <si>
    <t>Los trabajos a realizar en el expediente estuvieron divididos en dos ámbitos:
• Ámbito del Control económico: mejora en la elaboración y seguimiento del Presupuesto de Ingresos, elaboración de un Cuadro de Mando de Ingresos, desarrollo de estudios a medida.
• Ámbito de la facturación: Plan de Mejora de la gestión de los ingresos.</t>
  </si>
  <si>
    <t>.</t>
  </si>
  <si>
    <t>043</t>
  </si>
  <si>
    <t>PESGA y SERVIDUMBRES Murcia</t>
  </si>
  <si>
    <t>Redacción y Apoyo en la Tramitación del Plan Especial del Sistema General Aeroportuario del Aeropuerto Internacional de la Región de Murcia y Elaboración de las Servidumbres asociadas</t>
  </si>
  <si>
    <t>Junio 2013</t>
  </si>
  <si>
    <t>81.159,80 $</t>
  </si>
  <si>
    <t>Sociedad Concesionaria Aeropuerto de Murcia, S.A.</t>
  </si>
  <si>
    <t>Mariano Menor Muñoz, Carretera MU-601 Corvera - Fuente Álamo, km 13, 30153 Corvera, Tlf. 968.38.42.35, Mail: mmenor@airm.es</t>
  </si>
  <si>
    <t>Las tareas encomendadas dentro del alcance del proyecto fueron:
• Redacción del Plan Especial del Sistema General Aeroportuario (PESGA).
• Coordinación del PESGA con las autoridades competentes en materia territorial.
• Apoyo en la tramitación.
• Asesoría a las autoridades territoriales en planificación aeroportuaria.
• Desarrollo de las modificaciones relativas a la tramitación.</t>
  </si>
  <si>
    <t>Los trabajos específicos a desarrollar para la consecución de las tareas fueron:
• Redacción de Memoria descriptiva y justificativa.
• Desarrollo de servidumbres y huellas de ruido.
Consecución de Planos de Información y Ordenación.
• Desarrollo del Plan Especial.</t>
  </si>
  <si>
    <t>044</t>
  </si>
  <si>
    <t>Transición Alicante</t>
  </si>
  <si>
    <t>Elaboración de un día tipo y programación de vuelos para la puesta en explotación de la Nueva Terminal del Aeropuerto de Alicante</t>
  </si>
  <si>
    <t>15.012,35 $</t>
  </si>
  <si>
    <t>Ignacio Fernández-Cuenca, Mail: ifcuenca@e-externas.aena.es</t>
  </si>
  <si>
    <t>El alcance del proyecto tuvo como objetivo la consecución de los siguientes trabajos:
• Investigación de la programación actual.
• Selección de día tipo.
• Investigación de mercado y compañías aéreas.
• Modificación Programación de Vuelos
• Constitución Programación de Vuelos final.</t>
  </si>
  <si>
    <t>Los servicios proporcionados fueron los siguientes:
• Elaboración de perfiles mensuales, semanales y diarios del último año, estacionalidad y tendencias de los últimos 5 años.
• Selección de día tipo.
• Establecimiento de conclusiones obtenidas en el análisis de mercado.
• Establecimiento de conclusiones a partir de los planes de las compañías aéreas.
• Desarrollo de Programación de vuelos con una estructura concreta de datos.</t>
  </si>
  <si>
    <t>PD Almería</t>
  </si>
  <si>
    <t>Asistencia Técnica para la Redacción y Tramitación de Tres Planes Directores de Aeropuertos de la Red de AENA</t>
  </si>
  <si>
    <t>Febrero 2012</t>
  </si>
  <si>
    <t>64.941,69 $</t>
  </si>
  <si>
    <t>Patricia María Río Martín, Jefe de Proyectos, Sistemas Aeroportuarios, Avenida de Burgos 12 - 1ª Planta, 28036 Madrid, Tlf. 91.383.00.85, Mail: preina@prointec.es</t>
  </si>
  <si>
    <t>La Asistencia Técnica tuvo por objeto la ejecución de la Revisión de los Planos Directores de Almería, Asturias y Zaragoza y la Tramitación Estratégica Ambiental asociada.</t>
  </si>
  <si>
    <t>El expediente incluyó el desarrollo de las siguientes tareas/hitos:
• Fase I. Redacción de la Propuesta de Revisión de Plan Director y elaboración y desarrollo de estudios complementarios.
• Fase II. Tramitación de la Evaluación Ambiental Estratégica de los Planes, incluyendo el Informe de Evaluación Ambiental Preliminar, el Informe de Sostenibilidad Ambiental y el Informe de Alegaciones.
• Fase III. Modificaciones a la revisión de los Planes Directores.</t>
  </si>
  <si>
    <t>En el Horizonte 3, se previeron un total de 12 aeronaves hora diseño, una superficie útil del edificio terminal de 12.000 m2, y una inversión total de 8.296.000 €.</t>
  </si>
  <si>
    <t>12</t>
  </si>
  <si>
    <t>Dragados_Nueva CE_OVD</t>
  </si>
  <si>
    <t>Elaboración del Estudio de Operatividad y Seguridad del concurso de Aena DIA 1034/10 "Nueva Central Eléctrica en el Aeropuerto de Asturias"</t>
  </si>
  <si>
    <t>Castrillón</t>
  </si>
  <si>
    <t>Febrero 2011</t>
  </si>
  <si>
    <t>5.682,40 $</t>
  </si>
  <si>
    <t>Para la preparación de la documentación técnica necesaria para el concurso, se definió el siguiente alcance:
• Redacción del Estudio de Operatividad de la oferta y resumen.
• Redacción del Estudio de Seguridad Operacional de la oferta y resumen.</t>
  </si>
  <si>
    <t>Dentro del alcance de la colaboración se definieron las siguientes tareas:
• Estudio y Resumen de Operatividad y Seguridad Operacional: interferencias, servicios afectados y análisis de seguridad operacional. Se enunciaron las medidas necesarias para minimizar las afecciones operativas de las obras sobre la actividad aeroportuaria..
Se abordaron aspectos como la ordenación del proceso constructivo, la forma de ejecución de las actividades complejas, los períodos de actuación, el enunciado de las acciones necesarias para reducir el riesgo sobre la viabilidad de las operaciones aéreas y la formulación de las medidas de seguridad.</t>
  </si>
  <si>
    <t>Rover Reus</t>
  </si>
  <si>
    <t>Colaboración en la preparación del concurso de Aena DIA 952/10 "Acondicionamiento de Áreas de Aparcamiento - Aeropuerto de Reus"</t>
  </si>
  <si>
    <t>Reus</t>
  </si>
  <si>
    <t>7.035,35 $</t>
  </si>
  <si>
    <t>Rover Alcisa Construcción</t>
  </si>
  <si>
    <t>Carlos Torres Mena, Departamento de Estudios, Calle Botánico Cavanilles, 28, 46010 Valencia, Tlf. 96.339.09.50, Mail: ctorres@roveralcisa.com</t>
  </si>
  <si>
    <t xml:space="preserve">Para la preparación de la documentación técnica necesaria para el concurso, se definió el siguiente alcance:
• Redacción de la Oferta Técnica de la oferta de acuerdo a los requisitos. </t>
  </si>
  <si>
    <t>Dentro del alcance de la colaboración se definieron las siguientes tareas:
• Redacción de la Memoria Técnica y Programa de Trabajos, incluyendo la descripción de la obra, la Relación de materiales, el Estudio de detalle, el Estudio de operatividad, un Estudio de Servidumbres, y el Programa de Trabajos.
Se abordaron aspectos como la ordenación del proceso constructivo, la forma de ejecución de las actividades complejas, los períodos de actuación, las acciones necesarias para reducir el riesgo sobre la viabilidad de las operaciones aéreas y la formulación de las medidas de seguridad.</t>
  </si>
  <si>
    <t>COPROSA</t>
  </si>
  <si>
    <t>Oferta de colaboración en la preparación de los concursos de Aena DIA 1142/10 "Actuaciones en Campo de Vuelo para Certificación del Aeródromo en el Aeropuerto de Girona-Costa Brava" y PLV 1136/10 "Prolongación de Galería Visitable hasta Zona de Servicio en el Aeropuerto de Valencia"</t>
  </si>
  <si>
    <t>Girona/Valencia</t>
  </si>
  <si>
    <t>16.999,60 $</t>
  </si>
  <si>
    <t>COPROSA, S.A.</t>
  </si>
  <si>
    <t>Vicente Benito Iglesias, Subdirector de Estudios, Calle Dr. Alfredo Martínez 6, nº5, 33005 Oviedo, Mail: vbenito@coprosa.es, Tlf. 985.965.940.</t>
  </si>
  <si>
    <t xml:space="preserve">Para la preparación de la documentación técnica necesaria para ambos concursos, se definió el siguiente alcance:
• Redacción del apartado: Memoria constructiva y Programa de Trabajos de la Documentación Técnica de la oferta de acuerdo a los Pliegos.
• Realización de la visita guiada a la zona de obras y adaptación de los aspectos tratados durante la misma. </t>
  </si>
  <si>
    <t>Dentro de la colaboración se definieron las siguientes tareas:
• Descripción de la obra, con un análisis completo de las actuaciones que llevar a cabo.
• Relación de materiales, incluyendo un estudio de los medios de transporte necesarios y de los accesos, de las instalaciones auxiliares, de las zonas de acopios de tierras y materiales y de las zonas de préstamos y vertederos.
• Estudio de detalle, que constó de un análisis formal donde revisar la viabilidad y el cumplimiento normativo, incluyendo una revisión de mediciones. 
• Estudio de operatividad: interferencias, servicios afectados, fases de ejecución de los trabajos y análisis de Seguridad Operacional. 
También se incluyó un Estudio de Servidumbres que detallaba las superficies limitadoras de obstáculos de aeródromo y radioeléctricas afectadas por la ejecución de las obras. 
• Programa de Trabajos, con un listado de las tareas inscritas en la ejecución de la obra, su duración, las tareas críticas y la inversión mensual prevista.
Se abordaron aspectos como la ordenación del proceso constructivo, la forma de ejecución de las actividades más complejas, los periodos de actuación, el enunciado de las acciones necesarias para reducir el riesgo de las operaciones aéreas y el resto de medidas de seguridad.</t>
  </si>
  <si>
    <t>AUDITEL</t>
  </si>
  <si>
    <t>Acuerdo de colaboración entre AIRIA y AUDITEL INGENIERÍA Y SERVICIOS, S.L.</t>
  </si>
  <si>
    <t>AUDITEL INGENIERÍA Y SERVICIOS, S.L.</t>
  </si>
  <si>
    <t>Rafel Delgado Calzada, Director de Contratación y Estudios, Mail: rafael.delgado@auditel.es, Tlf. 91.721.18.48.</t>
  </si>
  <si>
    <t>Para la preparación de la documentación técnica necesaria, "Remodelación de anillo de campo de vuelo. Aeropuerto de Fuerteventura", "Adecuación y mejora del sistema de abastecimiento de agua contra incendios. Aeropuerto de Almería" y "Nueva Central Eléctrica. Aeropuerto de Asturias" se definió el alcance:
• Redacción del Estudio de Operatividad de la oferta de acuerdo a los Pliegos.
• Redacción del Estudio de Seguridad Operacional de la oferta de acuerdo a los Pliegos.</t>
  </si>
  <si>
    <t>16.038,06 $</t>
  </si>
  <si>
    <t>Dentro del alcance se definieron las siguientes tareas:
• Estudio y Resumen de Operatividad y Seguridad Operacional: interferencias, servicios afectados y análisis de seguridad operacional.
Se abordaron aspectos como la ordenación del proceso constructivo, la forma de ejecución de las actividades más complejas, los periodos de actuación, el enunciado de las acciones necesarias para reducir el riesgo de las operaciones aéreas y de otras medidas de seguridad.</t>
  </si>
  <si>
    <t>PSO Malaga Assignia</t>
  </si>
  <si>
    <t>Eliminación de Obstáculos en el interior del SGA al objeto de la consecución de la certificación de aeródromo</t>
  </si>
  <si>
    <t>5.206,13 $</t>
  </si>
  <si>
    <t>Laura Guerra, Tlf. 609.75.78.46</t>
  </si>
  <si>
    <t>Para comenzar los trabajos asociados a la obra, fue necesario redactar un Plan de Seguridad Operacional aprobado por el Responsable de Seguridad Operacional del aeropuerto.</t>
  </si>
  <si>
    <t>El Plan de Seguridad Operacional se realizó conforme a la instrucción operativa interna de Aena, teniendo en cuenta la Normativa de Seguridad Operacional vigente.
El Plan estaba formado por una descripción de los trabajos, las afecciones a la operatividad, los riesgos existentes y cómo mitigarlos, los condicionantes a imponer en los trabajos de la obra y los procedimientos para la realización de las inspecciones de seguridad y el seguimiento de las actuaciones.
Todo ello se complementó con planos del resumen de actuaciones, los accesos a obra, las fases de trabajo, la delimitación de áreas y alturas con restricción de aeronaves, áreas fuera de servicio, obstáculos.</t>
  </si>
  <si>
    <t>Assignia resultó adjudicataria del concurso en cuestión, haciendo necesario el desarrollo y consecución de los trabajos objeto del contrato.</t>
  </si>
  <si>
    <t>Rover Alcisa</t>
  </si>
  <si>
    <t>Elaboración de la documentación necesaria en "Remodelación Sala de Llegadas. Aeropuerto de Palma de Mallorca", "Edificio Aparcamiento Zona Industrial Sur. Aeropuerto de Palma de Mallorca", "Adecuación Plataforma de Estacionamiento de Aeronaves en el Aeropuerto de Zaragoza", "Recrecido de Pista. Aeropuerto de Alicante"</t>
  </si>
  <si>
    <t>21.249,50 $</t>
  </si>
  <si>
    <t>ROVER ALCISA CONSTRUCCIÓN</t>
  </si>
  <si>
    <t>Myriam Belloch, Calle Botánico Cavanilles 28, 46010 Valencia, Mail: mbelloch@roveralcisa.com, Tlf. 96.339.09.50</t>
  </si>
  <si>
    <t>En el marco del acuerdo existente, AIRIA se comprometió a realizar ofertas a clientes aeroportuarios y dar soporte a la actividad aeroportuaria que se generó en el ámbito de la construcción de aeropuertos.</t>
  </si>
  <si>
    <t>La colaboración fue la elaboración de la documentación consensuada en el memorándum en entendimiento para los concursos de Aena:
• Remodelación Sala de Llegadas. Aeropuerto de Palma de Mallorca.
• Edificio Aparcamiento Zona Industrial Sur. Aeropuerto de Palma de Mallorca.
• Adecuación Plataforma de Estacionamiento de Aeronaves en el Aeropuerto de Zaragoza.
Recredio de Pista. Aeropuerto de Alicante</t>
  </si>
  <si>
    <t>VIAS</t>
  </si>
  <si>
    <t>Oferta de colaboración en la preparación de los concursos de Aena: PBR 25/11 "Adecuación de canales de drenaje y RESA en Campo de Vuelo del Aeropuerto de Barcelona, DIA 50/11 "Regeneración de plataforma en el Aeropuerto de Sevilla"</t>
  </si>
  <si>
    <t>10.603,50 $</t>
  </si>
  <si>
    <t>VÍAS Y CONSTRUCCIONES, S.A.</t>
  </si>
  <si>
    <t>Fátima Abad Villar, Calle Orense 11, 4ª Planta, 28020 Madrid, Mail: fatima.abad@vias.es Tlf. 91.417.98.00</t>
  </si>
  <si>
    <t>Para la preparación de la documentación técnica necesaria, se definió el siguiente alcance:
• Redacción del Estudio de Operatividd de la oferta de acuerdo a los Pliegos, y del resumen del Estudio.
• Redacción del Estudio de Seguridad Operacional de la oferta de acuerdo a los Pliegos, y del resumen de Estudio de Seguridad Operacional</t>
  </si>
  <si>
    <t>Dentro del alcance se definieron las siguientes tareas:
• Estudio y Resumen de Operatividad y Seguridad Operacional: interferencias, servicios afectados y análisis de seguridad operacional.
Se abordaron aspectos como la ordenación del proceso constructivo, la forma de ejecución de las actividades más complejas, los periodos de actuación, el enunciado de todas las acciones necesarias para reducir el riesgo a las operaciones aéreos y el resto de medidas de seguridad.</t>
  </si>
  <si>
    <t>DRAGADOS VGO</t>
  </si>
  <si>
    <t>Oferta de colaboración en la preparación del concurso de Aena DIA 83/11 "Adecuación del Campo de Vuelos del Aeropuerto de Vigo"</t>
  </si>
  <si>
    <t>Vigo</t>
  </si>
  <si>
    <t>10.343,19 $</t>
  </si>
  <si>
    <t>Para la preparación de la documentación técnica necesaria, se definió el siguiente alcance:
• Redacción del Estudio de Detalle de la oferta de acuerdo a los Pliegos.
• Redacción del resumen del Estudio de detalle de la oferta de acuerdo a los Pliegos.
Dentro del alcance, se definió la realización del estudio del proyecto de forma íntegra, analizando las diferencias entre cada uno de los documentos y finalizando en un estudio de las mediciones de las unidades del proyecto.</t>
  </si>
  <si>
    <t>Dentro del alcance, el Estudio de Detalle incorporó los siguientes apartados:
• Objetivos del análisis formal, técnico y de mediciones.
• Análisis formal y técnico.
• Análisis de las mediciones.</t>
  </si>
  <si>
    <t>PSO Valencia Assignia</t>
  </si>
  <si>
    <t>Prolongación de Galería Visitable hasta Zona de Servicio. Aeropuerto de Valencia. Expediente PLV 1136/2010</t>
  </si>
  <si>
    <t>Valencia</t>
  </si>
  <si>
    <t>Septiembre 2011</t>
  </si>
  <si>
    <t>4.336,13 $</t>
  </si>
  <si>
    <t>Fernando Callejón, Calle La Coruña 29, 28020 Madrid, Mail: fcallejon@assignia.com</t>
  </si>
  <si>
    <t>El Plan contuvo la descripción de los trabajos, las afecciones que suponen a la operatividad, los riesgos existentes y cómo mitigarlos, los condicionantes a los trabajos de la obra y los procedimientos para la realización de las inspecciones de seguridad y el seguimiento de las actuaciones que emanaron del Plan.</t>
  </si>
  <si>
    <t>Airtop</t>
  </si>
  <si>
    <t>Oferta de colaboración y apoyo en la preparación y presentación del concurso de Aena DNA 296/11</t>
  </si>
  <si>
    <t>6.303,15 $</t>
  </si>
  <si>
    <t>AIRTOPSOFT S.A.</t>
  </si>
  <si>
    <t>Thierrt Salvant, Mail: thierry.salvant@airtopsoft.com</t>
  </si>
  <si>
    <t>Para la presentación de la documentación, se llevó a cabo la preparación de la documentación administrativa y el soporte y guía durante el proceso respecto a los términos técnicos, legales, económicos y administrativos.</t>
  </si>
  <si>
    <t>Los servicios incluidos fueron:
• Traducción de la documentación legal de Airtopsoft.
• Preparación de la documentación administrativa y comercial (Sobres 1 y 3).
• Soporte y guía</t>
  </si>
  <si>
    <t>Auditel Seguridad PMI</t>
  </si>
  <si>
    <t>Colaboración para la preparación de la documentación técnica necesaria para el concurso de Aena "Instalaciones de seguridad en el acceso norte de vehículos al lado aire, Aeropuerto de Palma de Mallorca"</t>
  </si>
  <si>
    <t>Abril de 2011</t>
  </si>
  <si>
    <t>4.308,96 $</t>
  </si>
  <si>
    <t>Enrique Mendoza, Avenida del Partenón, 10, 28042 Madrid, Mail: emendoza@auditel.es, Tlf: 91.721.18.48</t>
  </si>
  <si>
    <t>Para la preparación de la documentación, se definió el siguiente alcance:
• Redacción del Estudio de Operatividad de la oferta de acuerdo a los requerimientos por parte de Aena.
• Redacción del Estudio de Seguridad Operacional de la oferta de acuerdo a los requerimientos habituales por parte de Aena.</t>
  </si>
  <si>
    <t>Dentro del alcance de la colaboración se definieron las tareas siguientes:
• Estudio de Operatividad: interferencias, servicios afectados y análisis de seguridad operacional. 
Se abordaron aspectos tales como ordenación del proceso constructivo, forma de ejecución de las actividades más complejas, periodos de actuación, enunciado de todas las acciones necesarias para reducir el riesgo sobre la viabilidad de las operaciones aéreas y formulación del resto de medidas de seguridad necesarias.</t>
  </si>
  <si>
    <t>EA Porcenalosa Málaga</t>
  </si>
  <si>
    <t>Estudio Aeronáutico sobre la viabilidad de edificación en la parcela 8.2 del Sector 3 para una nave industrial en San Julián, Málaga</t>
  </si>
  <si>
    <t>Junio 2011</t>
  </si>
  <si>
    <t>10.867,50 $</t>
  </si>
  <si>
    <t>Answer, Consultoría y Desarrollo Inmobiliaro, S.L.</t>
  </si>
  <si>
    <t>Miguel Narváez Sevillano, Calle Marqués de Larios, 1 1º, 29005 Málaga, Mail: miguel.narvaez@answer.com</t>
  </si>
  <si>
    <t>Se llevó a cabo la elaboración de un Estudio Aeronáutico que analizó las posibles afecciones existentes como consecuencia de las servidumbres físicas y radioeléctricas del Aeropuerto de Málaga.</t>
  </si>
  <si>
    <t>Se analizó la situación de las servidumbres de aeródromo físicas y radioeléctricas del Aeropuerto de Málaga respecto de la parcela objeto de estudio. Se determinaron los perfiles longitudinales de mayor grado de criticidad en las zonas de afección. Se detallaron las alturas máximas de edificación. Por último, se establecieron las conclusiones pertinentes que permitiesen alcanzar la compatibilidad entre los proyectos constructivos y la seguridad de la operación en el Aeropuerto.</t>
  </si>
  <si>
    <t>AESA, mediante el Expediente E11-0651, denegó la autorización de construcción del edificio de uso terciario al encontrarse en una zona cuyo instrumento de ordenación urbanística aún no había sido informado favorablemente por el Ministerio de Fomento.</t>
  </si>
  <si>
    <t>Auditel Barcelona</t>
  </si>
  <si>
    <t>Colaboración para la preparación de la documentación técnica necesaria para los concursos de Aena: "Instalación de luces de eje en las rodaduras de push-back de las plataformas del Aeropuerto de Barcelona", "Suministro con instalación para la ampliación del sistema de energía de continuidad en la central eléctrica lado aire. Aeropuerto de Barcelona"</t>
  </si>
  <si>
    <t>9.215,64 $</t>
  </si>
  <si>
    <t>Rafael Delgado Calzada, Avenida del Partenón, 10, 28042 Madrid, Tlf: 91.721.18.48</t>
  </si>
  <si>
    <t>Para la preparación de la documentación técnica necesaria para los concursos, se definió el siguiente alcance:
• Redacción del Estudio de Operatividad de la oferta, de acuerdo a los requerimientos de los Pliegos.
• Redacción del Estudio de Seguridad Operacional de la oferta de acuerdo a los requerimientos de los Pliegos.</t>
  </si>
  <si>
    <t>Dentro del alcance, se definieron las siguientes tareas:
• Estudio y Resumen de Operatividad y Seguridad Operacional: inteferencias, servicios afectados y análisis de seguridad operacional.
Se abordaron aspectos tales como: ordenación del proceso constructivo, forma de ejecución de las actividades más complejas, periodos de actuación, enunciado de todas las acciones necesarias para reducir el riesgo sobre la viabilidad de las operaciones aéreas y formulación del resto de medidas de seguridad necesarias.</t>
  </si>
  <si>
    <t>DRAGADOS_LPA</t>
  </si>
  <si>
    <t>Colaboración en la preparación del concurso de Aena DIA 308/11 "Zonas comerciales. Aeropuerto de Gran Canaria"</t>
  </si>
  <si>
    <t>Telde</t>
  </si>
  <si>
    <t>4.325,26 $</t>
  </si>
  <si>
    <t xml:space="preserve">DRAGADOS </t>
  </si>
  <si>
    <t>Para la preparación de la documentación técnica necesaria para los concursos de Aena, se definió el siguiente alcance:
• Redacción del Estudio de Operatividad y del resumen del Estudio de Operatividad de la oferta de acuerdo a los requerimientos de los Pliegos.
• Redacción del Estudio de Seguridad Operacional y del resumen del Estudio de Seguridad Operacional de la oferta de acuerdo a los requerimientos de los Pliegos.</t>
  </si>
  <si>
    <t>Dentro del alcance se definieron las siguientes tareas:
• Estudio y Resumen de Operatividad y Seguridad Operacional: interferencias, servicios afectados y análisis de seguridad operacional.
Se abordaron aspectos como la ordenación del proceso constructivo, la forma de ejecución de las actividades más complejas, periodos de actuación, enunciado de todas las acciones necesarias para reducir el riesgo sobre la viabilidad de las operaciones aéreas y formulación del resto de medidas de seguridad necesarias.</t>
  </si>
  <si>
    <t>EA aerogeneradores Coruña</t>
  </si>
  <si>
    <t>Estudio Aeronáutico sobre la viabilidad de ejecución del Parque Eólico Xalo</t>
  </si>
  <si>
    <t>Cerceda</t>
  </si>
  <si>
    <t>13.953,87 $</t>
  </si>
  <si>
    <t>ALDESA ENERGÍAS RENOVABLES</t>
  </si>
  <si>
    <t>Francisco Javier Jáuregui Alonso, Calle Bahía de Pollensa 13, 28042 Madrid, Mail: fjauregui@aldesa.es, Tlf: 91.381.92.20</t>
  </si>
  <si>
    <t>Se desarrolló un Estudio Aeronáutico que analizó la topografía del terreno para determinar la altitud máxima de instalación de los aerogeneradores. Se analizó la afección de las Servidumbres de Aeródromo del Aeropuerto de A Coruña, así como las servidumbres radioeléctricas de las ayudas a la navegación y el aterrizaje. Por último, se consideraron las maniobras de espacio aéreo para dilucidar si los aerogeneradores no constituían un peligro para la regularidad y seguridad de las operaciones aéreas.</t>
  </si>
  <si>
    <t xml:space="preserve">Los trabajos se estructuraron en dos principales fases:
• Fase I: Estudio previo de la viabilidad de ejecución del Parque Eólico, su compatibilidad con las operaciones de aproximación y despegue, con las servidumbres del aeródromo y con las radioayudas existentes.
• Fase II: En caso de que la Fase I emitiera un informe favorable, se desarrollaría en detalle el estudio de viabilidad siguiendo la metodología propuesta, considerando las características de los aerogeneradores y definiendo las máximas alturas de construcción. El informe iría acompañado de planos.
• Fase III: AIRIA apoyaría técnicamente en las gestiones necesarias para presentar el Estudio de Viabilidad ante la autoridad aeronáutica competente.  </t>
  </si>
  <si>
    <t>PD Tocumen</t>
  </si>
  <si>
    <t>Actualización del Plan Maestro, Aeropuerto Internacional de Tocumen</t>
  </si>
  <si>
    <t>Tocumen, Panamá</t>
  </si>
  <si>
    <t>Mayo 2012</t>
  </si>
  <si>
    <t>24.000,00 $</t>
  </si>
  <si>
    <t>International Civil Aviation Organization</t>
  </si>
  <si>
    <t>Alfonso Díez, Mail: adiez@tocumenpanama.aero</t>
  </si>
  <si>
    <t>El proyecto consistió en la actualización del Plan Maestro relativo al Aeropuerto Internacional de Tocumen.</t>
  </si>
  <si>
    <t>La lista de servicios fueron:
• Preparar un inventario de las infraestructuras existentes.
• Definir todos los estándares y parámetros de planificación a usar en la actualización del Plan Maestro.
• Analizar la capacidad de los diferentes procesos existentes en el Edificio Terminal, determinando su adecuación con las condiciones de tráfico existentes y con el nivel de servicio (LoS) proporcionado; analizar su capacidad para manejar con las condiciones futuras existentes.
• Evaluar las necesidades del cliente.
• Validación de las previsiones de tráfico de pasajeros.
• Realizar un análisis demanda-capacidad y determinar las futuras necesidades respecto al Edificio Terminal.
• Revisar cualquier modificación al edificio terminal existente en el Aeropuerto Internacional de Tocumen.
• Identificar otras modificaciones o requisitos adicionales de superficie para recibir a los pasajeros en otros edificios terminales.
• Preparar diseños conceptuales, indicando cómo quedarían alteradas las estructuras existentes.
• Revisar el Plan Maestro actual y los diseños preliminares para la expansión del edificio terminal.
• Preparar una estimación de coste para la construcción del nuevo edificio terminal.
• Evaluar y aconsejar medidas para acomodar al flujo creciente de pasajeros en inmigración y aduanas, teniendo en cuenta la construcción del nuevo terminal norte.</t>
  </si>
  <si>
    <t>No existía un Presupuesto cerrado. Los Pliegos detallaban una cantidad diaria por los servicios ($400), más los gastos de viaje…</t>
  </si>
  <si>
    <t>Certificacion CASTELLON</t>
  </si>
  <si>
    <t>Preparación de documentación del Manual de Aeródromo del Aeropuerto de Castellón</t>
  </si>
  <si>
    <t>Benlloc</t>
  </si>
  <si>
    <t>Diciembre 2011</t>
  </si>
  <si>
    <t>72.105,86 $</t>
  </si>
  <si>
    <t>Concesiones Aeroportuarias, S.A.</t>
  </si>
  <si>
    <t>José María García Navas, Director General, Avenida Hermanos Bou, 22, 12003 Castelló, Mail: jmgarcia@conaer.aero</t>
  </si>
  <si>
    <t>Los trabajos desarrollados tuvieron por objeto la Revisión, Actualización y Redacción de los Procedimientos incluidos en el Manual de Aeródromo y el texto del Manual de las Partes IV y VI, aplicables al Aeropuerto de Castellón.</t>
  </si>
  <si>
    <t>En concreto, se trabajó en el desarrollo y consecución de los siguientes apartados:
• Inspección del área de Movimiento y SLO.
• Vigilancia y control de obstáculos dentro y fuera del recinto aeroportuario.
• Plan de Emergencias Aeronáuticas.
• Manuales de autoprotección de edificaciones.
• Mediciones del coeficiente de rozamiento y textura superficial de campo de vuelos.
• Manual de Mantenimiento.
• Manual del Sistema de Gestión de la Seguridad Operacional.
• Topografía de acuerdo a los requisitos de AESA.</t>
  </si>
  <si>
    <t>AESA introdujo comentarios a la documentación enviada mediante Diligencias DSAd 941-11 y 944-11.</t>
  </si>
  <si>
    <t>Gamesa Galicia</t>
  </si>
  <si>
    <t>Estudio Aeronáutico sobre la viabilidad de ejecución del Parque Eólico Cabanelas</t>
  </si>
  <si>
    <t>A Estrada</t>
  </si>
  <si>
    <t>Julio 2011</t>
  </si>
  <si>
    <t>Abril 2012</t>
  </si>
  <si>
    <t>10.900,10 $</t>
  </si>
  <si>
    <t>GAMESA ENERGÍA S.A.U.</t>
  </si>
  <si>
    <t>Jesús Fagúndez Díaz, Responsable Tramitaciones, Calle Antonio Gómez Vilasó, Bloque 3, P.2 y 3, 15702 Santiago de Compostela, Mail: jfagundez@gamesacorp.com, Tlf: 981.558.964</t>
  </si>
  <si>
    <t>Para la realización del Estudio Aeronáutico, se analizó la topografía del terreno para determinar la altitud máxima de la instalación en cada aerogenerador, y se estudió la afección de las Servidumbres Aeronáuticas. Adicionalmente, se consideraron las maniobras de espacio aéreo para dilucidar si los aerogeneradores constituían un peligro para la regularidad y seguridad de las operaciones aéreas.</t>
  </si>
  <si>
    <t>Los trabajos se estructuraron en dos principales fases:
• Fase I: Estudio previo de la viabilidad de ejecución del Parque Eólico, su compatibilidad con las operaciones de aproximación y despegue, con las servidumbres del aeródromo y con las radioayudas existentes.
• Fase II: se desarrolló en detalle el estudio de viabilidad, considerando las características de los aerogeneradores y definiendo las máximas alturas de construcción en función de la topografía y las servidumbres más críticas. Se incorporaron planos de la situación del parque, y las medidas y propuestas para mitigar la posible afección a la operatividad aeroportuaria.
• Fase III: AIRIA apoyó técnicamente en las gestiones para presentar el Estudio de Viabilidad ante la autoridad aeronáutica competente.</t>
  </si>
  <si>
    <t>12.497,62 $</t>
  </si>
  <si>
    <t>AESA estableció una resolución no autorizando la instalación del Parque Eólico "Cabanelas" el 17 de junio de 2011.</t>
  </si>
  <si>
    <t>CASTELLON Manual ops</t>
  </si>
  <si>
    <t>Edición, revisión y actualización del Manual de Operaciones del Aeropuerto de Castellón</t>
  </si>
  <si>
    <t>Agosto 2011</t>
  </si>
  <si>
    <t>78.506,82 $</t>
  </si>
  <si>
    <t>La sociedad concesionaria CONCESIONES AEROPORTUARIAS, S.A. responsable de la construcción y explotación del Aeropuerto de Castellón, solicitó el apoyo técnico en la elaboración de documentación necesaria en el proceso de puesta en operación del Aeropuerto de Castellón.</t>
  </si>
  <si>
    <t>Entre las necesidades detectadas, se incluyeron:
• Revisión y actualización del Manual de Operaciones y los 18 procedimientos incluidos.
• Revisión de los procedimientos del Programa de Seguridad y Plan de Autoprotección.
• Análisis del Manual de Mantenimiento y su posterior Revisión.
• Redacción o Revisión de 64 procedimientos incluidos en el Manual de Aeropuerto.
• Revisión del Manual de Formación y asesoramiento en su implementación.
• Elaboración de una Guía para la ejecución del proceso de pruebas y ensayos, y colaboración en su ejecución.
• Tramitación de las Servidumbres Aeronáuticas de acuerdo a las directrices de AESA, en caso de ser necesario.
• Revisión de la documentación presentada a AESA de acuerdo a sus exigencias.
• Apoyo en la elaboración y seguimiento de la "hoja de ruta" para colaborar en la determinación del camino crítico y el establecimiento de hitos de consecución de objetivos.
• Apoyo para la colaboración técnica y elaboración de la documentación oportuna en el período de colaboración.</t>
  </si>
  <si>
    <t>Rover Alcisa IntAmbiental AGP</t>
  </si>
  <si>
    <t>Elaboración de la Operatividad y del Plan de Seguridad Operacional para el concurso de Aena: "INTEGRACIÓN AMBIENTAL Y PAISAJÍSTICA ZONA 2 EN EL AEROPUERTO DE MÁLAGA-COSTA DEL SOL" Exp. PAG 558/11</t>
  </si>
  <si>
    <t>5.433,75 $</t>
  </si>
  <si>
    <t>ROVER ALCISA CONSTRUCCIÓN, S.A.</t>
  </si>
  <si>
    <t>Antonio Tello Corella, Mail: atello@roveralcisa.com</t>
  </si>
  <si>
    <t>La colaboración fue la elaboración de la documentación consensuada en el memorándum de entendimiento para el concurso previsto (Operatividad y Plan de Seguridad Operacional).</t>
  </si>
  <si>
    <t>Los servicios incluyeron la redacción de los siguientes apartados relativos a la oferta "Integración Ambiental y Paisajística Zona 2 en el Aeropuerto de Málaga-Costa del Sol":
• Mantenimiento de la Operatividad.
• Seguridad Operacional.
• Desarrollo de Planos.</t>
  </si>
  <si>
    <t>Aena Aeropuertos adjudicó a la UTE Constructed/Rover Alcisa los trabajos para la integración ambiental y paisajística del Aeropuerto de Málaga-Costa del Sol</t>
  </si>
  <si>
    <t>Adecuación facturación SVQ</t>
  </si>
  <si>
    <t>Adecuación Zona de Facturación a Requisitos de Seguridad y PRL. Aeropuerto de Sevilla. Exp. DIA 675/11</t>
  </si>
  <si>
    <t>Sevilla</t>
  </si>
  <si>
    <t>8.694,00 $</t>
  </si>
  <si>
    <t>CONSLAR Ingeniería y Construcciones, S.L.</t>
  </si>
  <si>
    <t>Jose Manuel Rodríguez, Director, Calle Enrique Mariñas 36, 9ª Planta, Local 1, 15009 A Coruña, Mail: jmrodriguez@conslar.es, Tlf: 981.175.157</t>
  </si>
  <si>
    <t xml:space="preserve">Para la preparación de la documentación técnica necesaria para el concurso de Aena, se definió el siguiente alcance:
• Redacción del Estudio de Operatividad y del resumen del Estudio de Operatividad de la oferta de acuerdo a los requerimientos en los Pliegos.
• Redacción del Plan de Seguridad Operacional y del resumen del Plan de Seguridad Operacional de la oferta de acuerdo a los Pliegos
• Redacción del Estudio de Detalle y del resumen del Estudio de Detalle de acuerdo a los Pliegos.
• Redacción del estudio de las mediciones y del resumen del estudio de mediciones del proyecto.
</t>
  </si>
  <si>
    <t>Dentro del alcance de la colaboración se definieron las siguientes tareas:
• Estudio del proyecto y resumen: estudio profundo y explicación del proyecto en las unidades más críticas.
• Estudio de las mediciones de las unidades de obra: estudio comparativo de las distintas unidades de obra.
• Estudio y resumen de operatividad: interferencias a la operación del aeropuerto y servicios afectados.
• Plan de Seguridad Operacional: afecciones a la Seguridad Operacional de la obra y sus posibles implicaciones, así como las condiciones en las que se debían ejecutar los trabajos.
Se abordaron aspectos como la ordenación del proceso constructivo, la forma de ejecución de las actividades más complejas, los periodos de actuación, el enunciado de todas las acciones necesarias para reducir el riesgo sobre la viabilidad de las operaciones aéreas y la formulación del resto de medidas de seguridad necesarias.</t>
  </si>
  <si>
    <t>SIMMOD PTY</t>
  </si>
  <si>
    <t>Airspace and Airfield Simulation Study</t>
  </si>
  <si>
    <t>Marzo 2012</t>
  </si>
  <si>
    <t>90.985,36 $</t>
  </si>
  <si>
    <t>El objetivo del proyecto fue el desarrollo del estudio de simulación en el espacio aéreo y lado aire del Aeropuerto Internacional de Tocumen, en Panamá.</t>
  </si>
  <si>
    <t>Al objeto de analizar la capacidad y el funcionamiento de la configuración actual y el desarrollo previsto, se realizaron simulaciones en tiempo acelerado usando el software Simmod PLUS! V7.3.
Se analizaron cuatro escenarios: estado inicial del aeropuerto (Escenario 1), estado inicial con algunas mejoras (Escenario 2), escenario intermedio entre el actual y el máximo desarrollo (Escenario 3), y escenario de máximo desarrollo (Escenario 4).</t>
  </si>
  <si>
    <t>Torre Monte Xalo</t>
  </si>
  <si>
    <t>Viabilidad de instalación de torre de medida en parcela 454 del Polígono 2 del Paraje de Xalo (Cerceda)</t>
  </si>
  <si>
    <t>2.434,32 $</t>
  </si>
  <si>
    <t>El alcance de la colaboración se ciñó a la elaboración de un estudio de viabilidad para obtener la autorización municipal a la construcción de la torre de medida.</t>
  </si>
  <si>
    <t>El alcance de los servicios llevados a cabo incluyeron la redacción de un estudio completo de Servidumbres aeronáuticas: servidumbres de aeródromo, Servidumbres radioeléctricas y Servidumbres de operación.
Se partió de las características técnicas de la torre, la topografía del lugar y las coordenadas de ubicación propuestas para su análisis dentro del contexto de los Estudios Aeronáuticos de Seguridad.</t>
  </si>
  <si>
    <t>PSO Assignia Luces PushBack</t>
  </si>
  <si>
    <t>Plan de Seguridad Operacional de Obra. Instalaciones de Luces de Eje en las Rodaduras Push-Back de las Plataformas. Aeropuerto de Barcelona. Exp. PBR 181/2011</t>
  </si>
  <si>
    <t>Enero 2012</t>
  </si>
  <si>
    <t>6.477,03 $</t>
  </si>
  <si>
    <t xml:space="preserve">Los trabajos incluyeron la redacción de un Plan de Seguridad Operacional que fuera aprobado por el Responsable de Seguridad Operacional del aeropuerto. </t>
  </si>
  <si>
    <t>El Plan de Seguridad Operacional se realizó conforme a la instrucción operativa interna de Aena, teniendo en cuenta la Normativa de Seguridad Operacional vigente.
El Plan estaba formado por una descripción de los trabajos, las afecciones a la operatividad, los condicionantes a imponer a los trabajos de la obra, los procedimientos para la realización de las inspecciones de seguridad y el seguimiento de las actuaciones del Plan.</t>
  </si>
  <si>
    <t>EAs Castellón</t>
  </si>
  <si>
    <t>Asistencia Técnica para la Elaboración de Estudios de Seguridad y Estudios de Riesgos para la Certificación del Aeropuerto de Castellón</t>
  </si>
  <si>
    <t>153.737,09 $</t>
  </si>
  <si>
    <t>La sociedad concesionaria CONCESIONES AEROPORTUARIAS, S.A. responsable de la construcción y explotación del Aeropuerto de Castellón, solicitó colaboración para la realización de estudios de seguridad y riesgos que permitieran cumplir los incumplimientos detectados por AESA. Se requirió la redacción de Estudios de seguridad o Estudios de Riesgos.</t>
  </si>
  <si>
    <t>Con respecto a los documentos, el alcance de los mismos fue el siguiente:
• Estudios de seguridad: justificación de los incumplimientos relativos a las dimensiones de la RESA, el área de funcionamiento del radioaltimétro y la vulneración de las SLO.
• Estudio de riesgos: análisis de los incumplimientos en las pendientes transversales de la franja.</t>
  </si>
  <si>
    <t>Dictamen Castellón</t>
  </si>
  <si>
    <t>Asistencia Técnica para el Apoyo en la Elaboración de Documentación relativa al Dictamen Técnico para la Certificación del Aeropuerto de Castellón</t>
  </si>
  <si>
    <t>50.805,56 $</t>
  </si>
  <si>
    <t>La sociedad concesionaria CONCESIONES AEROPORTUARIAS, S.A. responsable de la construcción y explotación del Aeropuerto de Castellón, solicitó colaboración para la revisión de la documentación técnica incluida en el apartado del cumplimiento de las normas técnicas de aeródromos civiles.</t>
  </si>
  <si>
    <t>Los servicios incluyeron la redacción de los siguientes documentos:
• Documento nº1: Determinación de Obstáculos y Puntos de Interés Aeronáutico.
• Documento nº15: Documentación Técnica de Ayudas Visuales.
• Planos SLO, PAPI, balizamiento, letreros, señalización horizontal, indicamiento de viento.</t>
  </si>
  <si>
    <t>Apoyo Castellón</t>
  </si>
  <si>
    <t>Apoyo Técnico en la puesta en marcha del Aeropuerto de Castellón</t>
  </si>
  <si>
    <t>23.039,10 $</t>
  </si>
  <si>
    <t>La sociedad concesionaria CONCESIONES AEROPORTUARIAS, S.A. responsable de la construcción y explotación del Aeropuerto de Castellón, solicitó colaboración para apoyar técnicamente el proceso de puesta en marcha del aeropuerto, assitiendo en las gestiones con AESA.</t>
  </si>
  <si>
    <t>Los servicios incluyeron la redacción de los siguientes entregables:
• Manual del Sistema de Gestión de la Seguridad Operacional.
• Sistemas de Gestión de Riesgos.
• CPE Control de Proveedores Externos.
• Indicadores de Seguridad Operacional.
• Tratamiento de Accidentes e Incidentes.
• Gestión de la documentación.
• Comunicaciones en materia de Seguridad Operacional.</t>
  </si>
  <si>
    <t>031</t>
  </si>
  <si>
    <t>Aero mesada y orrea</t>
  </si>
  <si>
    <t>Solicitud para la tramitación de servidumbres aeronáuticas</t>
  </si>
  <si>
    <t>Mesada/Orrea</t>
  </si>
  <si>
    <t>1.630,12 $</t>
  </si>
  <si>
    <t>ALDESA CONSTRUCCIONES S.A.</t>
  </si>
  <si>
    <t>El alcance de la colaboración se adscribió a la cumplimentación de los formularios exigidos por AESA así como el posterior seguimiento de los expedientes.</t>
  </si>
  <si>
    <t>Los servicios incluyeron la cumplimentación de:
• Formulario de solicitud para la tramitación de servidumbres aeronáuticas y obstáculos mayores de 100 metros. Emplazamiento por coordenadas.
• Adición de Planos de interés.</t>
  </si>
  <si>
    <t>AutoP Bad</t>
  </si>
  <si>
    <t>Informe de Riesgos de Helipuerto para Plan de Autoprotección de Hospital Germans Trias i Pujol</t>
  </si>
  <si>
    <t>Badalona</t>
  </si>
  <si>
    <t>4.311,66 $</t>
  </si>
  <si>
    <t>ZAGORA.CAT</t>
  </si>
  <si>
    <t>Sigfrid Correal, Mail: scorreal@zagoracat.com, Tlf: 605.871.854</t>
  </si>
  <si>
    <t>El objeto de la oferta fue la prestación del servicio de redacción del Plan de Autoprotección para el helipuerto del Hospital de Can Ruti.</t>
  </si>
  <si>
    <t>El contenido del Plan de Autoprotección fue el siguiente:
• Identificación de la instalación: emplazamiento, descripción de la instalación, medios materiales disponibles.
• Análisis de riesgos: identificación de la instalación, análisis histórico de accidentes en helipuertos, naturaleza del riesgo, evaluación del riesgo.
• Fichas de riesgos.</t>
  </si>
  <si>
    <t>Operaciones ACE 2012</t>
  </si>
  <si>
    <t>San Bartolomé</t>
  </si>
  <si>
    <t>Abril 2013</t>
  </si>
  <si>
    <t>92.281,43 $</t>
  </si>
  <si>
    <t>Aena Aeropuertos</t>
  </si>
  <si>
    <t>Narciso José Pérez Redondo, Departamento de Operaciones, Oficinas Aena Aeropuertos Aeropuerto de Lanzarote, Mail: njperez@aena.es, Tlf: 928.846.076</t>
  </si>
  <si>
    <t>Servicio de Redacción y Mantenimiento de Planes y Procedimientos de Operaciones en el Aeropuerto de Lanzarote así como Seguimiento y Control de los Obstáculos</t>
  </si>
  <si>
    <t>El objeto del servicio fue garantizar que los medios tanto materiales como humanos fueran los adecuados para que la correcta prestación tuviera como finalidad el establecimiento de distintos documentos y entregables.</t>
  </si>
  <si>
    <t>La documentación a desarrollar fue:
• Actualización y mantenimiento del Plan de Emergencia.
• Redacción y supervisión de informes técnicos, actualización del Manual del Aeropuerto y servicio de asesoramiento en la cumplimentación de la lista de verificación de las Normas Técnicas de Diseño y Operación de Aeródromos.
• Redacción y actualización de procedimientos operativos.
• Elaboración y actualización de planos.
• Aseguramiento de la vigencia de la documentación asociada entre los agentes de handling y el aeropuerto.
• Seguimiento de las operaciones.
• Análisis de operaciones y servicios.
• Servicio de asesoramiento en cuestiones relativas a Seguridad Operacional.
• Inspecciones de obstáculos.</t>
  </si>
  <si>
    <t>Certificación AIRM</t>
  </si>
  <si>
    <t>Redacción del Manual de Aeródromo para la certificación del Aeropuerto Internacional de la Región de Murcia</t>
  </si>
  <si>
    <t>Diciembre 2014</t>
  </si>
  <si>
    <t>118.918,14 $</t>
  </si>
  <si>
    <t>Iván Tejada, Director del Aeropuerto, Mail: ijtejada@sacyr.com, Tlf: 968.384.235</t>
  </si>
  <si>
    <t xml:space="preserve">El objeto del servicio fue la realización de:
• Revisión y modificación de la Parte 4 del Manual de Aeródromo: Procedimientos de operación.
• Revisión y modificación de la Parte 6 del Manual de Aeródromo: Sistema de Gestión de la Seguridad Operacional.
• Elaboración del Análisis de Riesgos inicial.
• Apoyo en la tramitación de la documentación generada.
• Modificaciones generadas por las revisiones de la Agencia de Seguridad Aérea (AESA). </t>
  </si>
  <si>
    <t>Entre las necesidades detectadas, se incluyeron:
• Revisión y modificación del Manual de aeropuerto en los procedimientos 4.2, 4.8, 4.10, 4.11, 4.15, 4.18, 4.19 y 4.20 de la Parte 4 Listado e información de los procedimientos de operación del Aeropuerto.
• Revisión y modificación del Manual de aeropuerto en la Parte 6 Sistema de Gestión de la Seguridad Operacional.
• Revisión y modificación del apartado 6.3.7 Formación en Materia de Seguridad Operacional.
• Elaboración del Programa de Seguridad Operacional del aeropuerto.
• Elaboración del Check-list de Identificación de Peligros del Sistema de Gestión de Riesgos del Aeropuerto.
• Elaboración del Análisis de Riesgos inicial del AIRM correspondiente a la puesta en explotación.</t>
  </si>
  <si>
    <t>Heli Andorra</t>
  </si>
  <si>
    <t>Andorra</t>
  </si>
  <si>
    <t>Pal, La Massana</t>
  </si>
  <si>
    <t>23.849,88 $</t>
  </si>
  <si>
    <t>Departament d'Ordenament Territorial, Ministeri d'Economia i Territori</t>
  </si>
  <si>
    <t>Ramon Reguant Aleix, Departament d'Ordenament Territorial, Mail: Ramon_Reguant@govern.ad, Tlf: 00376875600</t>
  </si>
  <si>
    <t xml:space="preserve">El alcance de la colaboración abarcó la evaluación y comprobación de la viabilidad de las propuestas técnicas remitidas por los licitadores al concurso, así como cualquier otro trabajo añadido. </t>
  </si>
  <si>
    <t>La evaluación técnica de las ofertas se compuso de dos tareas:
• Comprobación de cumplimiento de requisitos exigidos en los Pliegos.
• Evaluación técnica de la calidad de la oferta, basada en los parámetros establecidos en el Pliego de Prescripciones Técnicas.
También destacaron el análisis de la factibilidad de la propuesta, el análisis del diseño del helipuerto, la evaluación del proyecto constructivo, o el cumplimiento de la Normativa Técnica.</t>
  </si>
  <si>
    <t>Pliegos Tocumen</t>
  </si>
  <si>
    <t>16.000,00 $</t>
  </si>
  <si>
    <t>Michael Buch, Mail: mbuch@icao.int, Tlf: +1.514.954.52.34</t>
  </si>
  <si>
    <t>La lista de servicios incluyó:
• Revisión del Plan Maestro vigente del Aeropuerto Internacional de Tocumen y los diseños preliminares relativos a la expansión del edificio terminal.
• Definir todos los estándares y parámetros de planificación en la preparación de las especificaciones técnicas.
• Preparación de las especificaciones técnicas y los criterios de evaluación para la infraestructura requerida (Muelle Sur y nuevo edificio de prcoesamiento), incluyendo los estudios preliminares de coste.
• Preparación de bocetos de planificación de espacios indicando cómo quedarían alteradas las estructuras existentes del terminal.
• Preparación de un informe indicando las conclusiones con respecto al desarrollo de la superficie del terminal.</t>
  </si>
  <si>
    <t>Certificación ALC</t>
  </si>
  <si>
    <t>A.T. para la certificación del Aeropuerto de Alicante</t>
  </si>
  <si>
    <t>Elx</t>
  </si>
  <si>
    <t>62.504,44 $</t>
  </si>
  <si>
    <t>Jesús Cobo Muñoz, Director Expediente, Mail: jcmunoz@aena.es</t>
  </si>
  <si>
    <t>El objeto de la asistencia fue la prestación del servicio que acreditara que el Aeropuerto de Alicante, sus instalaciones, servicios, sistemas y equipos se ajustasen a las disposiciones, normas y métodos de certificación en vigor por parte de AESA y el Ministerio de Fomento, y que el aeropuerto fuera adecuado para las operaciones de las aeronaves propuestas.</t>
  </si>
  <si>
    <t>Las tareas a desarrollar incluyeron:
• Cumplimentación del dictamen de Normas y Métodos recomendados.
• Actualización del Manual del Aeropuerto.
• Asesoramiento en la implantación, seguimiento y mantenimiento del Sistema de Gestión de Seguridad Operacional.</t>
  </si>
  <si>
    <t>AeroGecal</t>
  </si>
  <si>
    <t>Estudio aeronáutico de seguridad por afección a servidumbres de aeródromo. Parque Eólico As Penizas</t>
  </si>
  <si>
    <t>Julio 2012</t>
  </si>
  <si>
    <t>17.257,49 $</t>
  </si>
  <si>
    <t>Estela Eólica S.L.</t>
  </si>
  <si>
    <t>Susana Cornejo Gómez, Gecal Renovables, S.A., Calle Ciudad de Vierzón, 35-37 bajo, 09200 Mirando de Ebro (Burgos), Mail: scornejo@gecalsa.com, Tlf: 947.347.316</t>
  </si>
  <si>
    <t>Para la realización del Estudio Aeronáutico, se analizó la topografía del terreno para determinar la altitud máxima de la instalación en cada aerogenerador, y se estudió la afección de las Servidumbres Aeronáuticas. Adicionalmente, se consideraron las maniobras de espacio aéreo en un análisis que dilucidara si los aerogeneradores pudieran constituir un peligro para la regularidad y seguridad de las operaciones aéreas.</t>
  </si>
  <si>
    <t>Los trabajos se estructuraron en diversas fases:
• Fase 0: asistencia a la reunión convocada por AESA, realización de los estudios de factibilidad para la asistencia a la reunión con documentación de la situación del Parque Eólico.
• Fase I: estudio previo de la viabilidad de ejecución del Parque Eólico, su compatibilidad con las operaciones de aproximación y despegue en los aeropuertos afectados, con las servidumbres de aeródromo y con las radioayudas existentes. Se consideraron las características de los aerogeneradores, definiendo las máximas alturas de construcción en función de la topografía y las servidumbres más críticas. Desarrollo de planos.
• Fase II. AIRIA apoyó técnicamente en las gestiones para presentar el Estudio de Viabilidad ante la autoridad aeronáutica competente.</t>
  </si>
  <si>
    <t>PD Lleida</t>
  </si>
  <si>
    <t>Assitència Tècnica per la Redacció del Pla Director Urbanístic Aeroportuari de l'Aeroport de Lleida-Alguaire i la seva avaluació ambiental estratègica</t>
  </si>
  <si>
    <t>Alguaire</t>
  </si>
  <si>
    <t>43.408,73 $</t>
  </si>
  <si>
    <t>Aeroports de Catalunya</t>
  </si>
  <si>
    <t>Moisés Moreno Verdugo, Project Manager, Avinguda del Litoral 36-40, 08005 Barcelona, Mail: moises.moreno@aeroports.cat, Tlf: 93.327.83.79</t>
  </si>
  <si>
    <t>El objeto del proyecto fue la redacción del Plan Director Urbanístico Aeroportuario del Aeropuerto de Lleida-Alguaire. En dicho entregable, se planteó la definición de los objetivos, capacidades y actuaciones a medio y largo plazo, entre las cuales se encontraron la delimitación de su ámbito y la legitimización de la reserva de suelo para su ubicación futura.</t>
  </si>
  <si>
    <t>El documento a desarrollar incluyó los siguientes apartados:
• Presentación. Oportunidad e Iniciativa del Plan.
• Objetivos y criterios del Plan Director Urbanístico y Aeroportuario.
• Estado actual del Aeropuerto de Alguaire.
• Propuesta de Ordenación. Análisis de alternativas consideradas.
• Programación de las actuaciones. Fases de desarrollo.
• Servidumbres afectadas.
• Propuesta de Movilidad.
• Aspectos medioambientales relevantes del territorio.
• Planos.</t>
  </si>
  <si>
    <t>Aero Salamanca</t>
  </si>
  <si>
    <t>Estudio aeronáutico de seguridad por afección a servidumbres de aeródromo. Parque Eólico Matabuey</t>
  </si>
  <si>
    <t>Garcihernández</t>
  </si>
  <si>
    <t xml:space="preserve"> Junio 2012</t>
  </si>
  <si>
    <t>4.670,06 $</t>
  </si>
  <si>
    <t>E.ON Renovables S.L.U.</t>
  </si>
  <si>
    <t>Javier Torrijos Cuesta, Procurement Manager Iberia, Senior Category Manager, Torre Picasso, pl 42, Plaza Pablo Ruiz Picasso s/n, 28020 Madrid, Mail: javier.torrijos@eon.com, Tlf: 91.432.06.06</t>
  </si>
  <si>
    <t>El alcance de la colaboración se circunscribió al apoyo en la redacción de un informe técnico al recurso contencioso-administrativo que E.ON Renovables tenái abierto por el citado Parque.</t>
  </si>
  <si>
    <t>El Estudio Técnico de Valoración incluyó los siguientes apartados:
• Estudio de afecciones al GCA 2000.
• Detalle de la legislación nacional vigente en el momento del estudio.
• Descripción del espacio aéreo.
• Estudio de maniobras. Base Aérea Matacán.
• Estudio de medidas mitigadoras.
• Desarrollo de conclusiones.</t>
  </si>
  <si>
    <t>Aero ElCarpio</t>
  </si>
  <si>
    <t>Apoyo en la tramitación del expediente referente al Parque Eólico "El Carpio"</t>
  </si>
  <si>
    <t>Villagonzalo de Tormes</t>
  </si>
  <si>
    <t>4.778.66 $</t>
  </si>
  <si>
    <t>4.778,66 $</t>
  </si>
  <si>
    <t>El alcance de la colaboración se circunscribió al apoyo en la redacción de un informe divulgativo que sirviera de apoyo para la valoración de las alegaciones que la Defensa presentara ante el juez.</t>
  </si>
  <si>
    <t xml:space="preserve">El alcance del informe incluyó:
• Objeto del entregable.
• Descripción del Parque Eólico "El Carpio" y del Aeropuerto de Salamanca.
• Descripción de los procedimientos de vuelo afectados.
• Caracterización del Aeropuerto de Salamanca.
• Comparación con aeropuertos con similares características.
• Establecimiento de medidas mitigadoras a implantar.
• Desarrollo de Anexos.
</t>
  </si>
  <si>
    <t>Actualización gráfica BIO</t>
  </si>
  <si>
    <t>Servicio técnico para la actualización de la información gráfica del Aeropuerto de Bilbao</t>
  </si>
  <si>
    <t>Loiu</t>
  </si>
  <si>
    <t>Julio 2013</t>
  </si>
  <si>
    <t>43.974,57 $</t>
  </si>
  <si>
    <t>Eduardo Gómez Santos, Departamento Ingeniería y Mantenimiento, Calle Gaztañaga Auzoa s/n, 48180 Loiu, Mail: egomez@aena.es, Tlf: 944.869.571</t>
  </si>
  <si>
    <t>El objetivo del expediente fue llevar a cabo las tareas descritas en el Pliego de Prescripciones Técnicas, entre las cuales destacaron la elaboración de los planos de certificación, el estudio de los planos históricos no informatizados, el estudio de los planos básicos actuales, la actualización de los planos básicos y el control de calidad de la documentación gráfica.</t>
  </si>
  <si>
    <t>Los servicios a realizar incluyeron las siguientes acciones:
• Actualización de los planos topográficos.
• Digitalización de instalaciones del campo de vuelo y urbanización, edificios, plantas e instalaciones.
• Gestión de la documentación gráfica.
• Elaboración de planos para la certificación del aeropuerto.
• Servicios especializados.</t>
  </si>
  <si>
    <t>Rover_Comerciales BCN</t>
  </si>
  <si>
    <t>Colaboración en la preparación del concurso de Aena BCN 750/12 "Infraestructura para la ampliación de superficie comercial en Sky Center de Terminal 1"</t>
  </si>
  <si>
    <t>Septiembre 2012</t>
  </si>
  <si>
    <t>1.846,30 $</t>
  </si>
  <si>
    <t>Jose Javier Landa, Director de Obra Civil, Calle Botánico Cavanilles, 28, 46010 Valencia, Mail: jjlanda@roveralcisa.com</t>
  </si>
  <si>
    <t>El objetivo del contrato fue colaborar en la preparación de la documentación necesaria respecto al concurso de Aena descrito.</t>
  </si>
  <si>
    <t xml:space="preserve">El alcance del contrato fue la redacción de los siguiente documentos:
• Estudio de operatividad.
• Documentación gráfica.
• Apoyo en visita de obra.
</t>
  </si>
  <si>
    <t>Drag_Esp com T4-T4S</t>
  </si>
  <si>
    <t>Colaboración en la preparación del concurso Aena Aeropuertos: DIN 236/12 "Desarrollo y mejora de espacios comerciales en T4 y T4S - Aeropuerto de Madrid-Barajas"</t>
  </si>
  <si>
    <t>8.123,73 $</t>
  </si>
  <si>
    <t>María Bravo Bermejo, Dirección Estudios, Avenida Camino de Santiago 50, 28050 Madrid, Mail: mbravob@dragados.com, Tlf: 91.703.85.69</t>
  </si>
  <si>
    <t>El alcance de la oferta fue la preparación de la documentación técnica para la presentación por parte de DRAGADOS del expediente DIN 236/2012.</t>
  </si>
  <si>
    <t>Los puntos realizados por AIRIA fueron:
• Mantenimiento de la operatividad aeroportuaria.
• Seguridad Operacional.
• Análisis detallado del proyecto y propuestas de optimización.</t>
  </si>
  <si>
    <t>Procesos economicos BCN</t>
  </si>
  <si>
    <t>Mejora de los procesos económicos del Aeropuerto de Barcelona</t>
  </si>
  <si>
    <t>Enero 2013</t>
  </si>
  <si>
    <t>Junio 2017</t>
  </si>
  <si>
    <t>288.886,53 $</t>
  </si>
  <si>
    <t>Luis Hinarejos Gómez, Jefe Departamento Control Económico, Mail: lhinarejos@aena.es, Tlf: 93.297.11.25</t>
  </si>
  <si>
    <t>El objeto del contrato fue cubrir las necesidades relativas a garantizar una eficaz y eficiente gestión en la:
• Prestación de asistencia en la elaboración de la Contabilidad de Costes ABC, estudios a medida de coste y rentabilidad de los servicios prestados por el Aeropuerto.
• Prestación de asistencia en la comprobación y validación de la facturación de los ingresos aeronáuticos del Aeropuerto.
• Prestación de asistencia en la planificación y seguimiento de la evolución y desviaciones presupuestarias de los ingresos aeronáuticos del Aeropuerto, así como en la obtención de indicadores de gestión.</t>
  </si>
  <si>
    <t>Los servicios realizados incluyeron el desarrollo de los siguientes servicios:
• Ingresos Aeronáuticos.
• Estudios de validación.
• Presupuesto tesorería de cobros.
• Verificación de ingresos aeronáuticos.
• Estimación de cierre.
• Informes de ingresos.
• Presupuesto de ingresos.
• Costes ABC.
• Estudios a Medida Costes.</t>
  </si>
  <si>
    <t>Dragados AGP</t>
  </si>
  <si>
    <t>Colaboración en la preparación del concurso Aena Aeropuertos: DIN 308/12 "Remodelación zonas comerciales. Aeropuerto de Málaga-Costa de Sol"</t>
  </si>
  <si>
    <t>Diciembre 2012</t>
  </si>
  <si>
    <t>6.516,36 $</t>
  </si>
  <si>
    <t>El alcance de la oferta fue la preparación de la documentación técnica para la presentación por parte de DRAGADOS del expediente DIN 308/2012.</t>
  </si>
  <si>
    <t>PSO T4-T4S MAD</t>
  </si>
  <si>
    <t>Oferta de colaboración en la preparación del Plan de Vigilancia de Seguridad Operacional de la obra "Desarrollo y mejora de espacios comerciales en T4 y T4S. Aeropuerto de Madrid Barajas. DIN 236/12"</t>
  </si>
  <si>
    <t>2.335,03 $</t>
  </si>
  <si>
    <t>Beatriz Carmona García, Mail: bcarmonag@dragados.com, Tlf: 91.305.40.40</t>
  </si>
  <si>
    <t xml:space="preserve">El alcance de la oferta fue la preparación del Plan de Vigilancia de Seguridad Operacional asociado a la obra de expediente DIN 236/2012, de conformidad con la instrucción Operativa EXA 50 - Trabajos en el aeródromo. </t>
  </si>
  <si>
    <t>El expediente incluyó el desarrollo de los siguientes apartados:
• Descripción y localización de los trabajos.
• Delimitación de los tajos de obra.
• Señalización e iluminación de la zona de obras y accesos.
• Condiciones de acceso a la zona de trabajo.
• Altura de equipos/afección a las SLO.
• Zonas de aparcamiento de vehículos y maquinaria de obra.
• Trabajo en condiciones meteorológicas adversas.
• Acciones para el control de FOD.
• Exigencias en las radiocomunicaciones.
• Gestión de incidencias.
• Desarrollo de planos.
• Solicitud y obtención del Permiso de trabajo.
• Control de la zona de trabajo/plan de inspecciones de seguridad.
• Cronograma de reuniones de seguimiento.</t>
  </si>
  <si>
    <t>Drag_ACE</t>
  </si>
  <si>
    <t>Colaboración en la preparación del concurso Aena Aeropuertos: DIN 330/12 "Adecuación Planta de salidas del edificio terminal T1. Aeropuerto de Lanzarote"</t>
  </si>
  <si>
    <t>5.321,69 $</t>
  </si>
  <si>
    <t>El alcance de la oferta fue la preparación de la documentación técnica para la presentación por parte de DRAGADOS del expediente DIN 330/2012.</t>
  </si>
  <si>
    <t>13</t>
  </si>
  <si>
    <t>Helipuerto El Cabril</t>
  </si>
  <si>
    <t>Consultoría para autorización de helipuerto de uso restringido en la Base del Cabril</t>
  </si>
  <si>
    <t>Hornachuelos</t>
  </si>
  <si>
    <t>Febrero 2013</t>
  </si>
  <si>
    <t>Mayo 2016</t>
  </si>
  <si>
    <t>20.526,53 $</t>
  </si>
  <si>
    <t>Grupo FAASA</t>
  </si>
  <si>
    <t>David Mata Fernández, Director de Calidad y Sistemas, Subdirección General de Áreas Corporativas, Mail: dmata@faasa.com, Tlf: 957.710.460</t>
  </si>
  <si>
    <t>El objeto del contrato se circunscribió a la obtención por parte de FAASA y/o ENRESA de la autorización como helipuerto de uso restringido.</t>
  </si>
  <si>
    <t>Para la obtención de la autorización como helipuerto de uso restringido, se llevó a cabo la redacción y consecución de distintos entregables, a saber:
• Estudio de compatibilidad del espacio aéreo.
• Evaluación medioambiental de la instalación.
• Documentación administrativa y estudio técnico del helipuerto.
• Asistencia y apoyo en la tramitación de los distintos expedientes.</t>
  </si>
  <si>
    <t>Terminal Argel</t>
  </si>
  <si>
    <t>Diseño Funcional de la Nueva Zona Terminal de Pasajeros en el Aeropuerto de Argel</t>
  </si>
  <si>
    <t>Argelia</t>
  </si>
  <si>
    <t>Argel</t>
  </si>
  <si>
    <t>141.187,80 $</t>
  </si>
  <si>
    <t>Isabel Maria Carrasco Ancochea, Ingeniero Aeronáutico, Avenida de Burgos 12, 28036 Madrid, Mail: imcarrascoa@proniec.es, Tlf: 91.480.99.75</t>
  </si>
  <si>
    <t>El objeto del expediente era la prestación de servicios de consultoría para la realización del Diseño Funcional de la Nueva Área Terminal del Aeropuerto de Argel.</t>
  </si>
  <si>
    <t>Las tareas a asumir por parte de AIRIA para la realización del Diseño Funcional de la Nueva Área Terminal se estructuraron en cuatro fases: lanzamiento, trabajos previos, estudio de necesidades y desarrollo funcional. Los entregables desarrollados fueron:
• Livrable 1: Situation actuelle et collecte des données.
• Livrable 2: Analyse des données.
• Livrable 3: Évaluation des besoins.
• Livrable 4: Élaboration des programmes.
• Livrable 5: Finalisation du dossier technique de la phase "études préliminaires".</t>
  </si>
  <si>
    <t>Apanta SILOS REU</t>
  </si>
  <si>
    <t>Estudio de apantallamiento construccion o instalación de una envasadora en el término municipal de Constantí (Reus)</t>
  </si>
  <si>
    <t>Constantí</t>
  </si>
  <si>
    <t>2.226,42 $</t>
  </si>
  <si>
    <t>Global Talk e S.L.</t>
  </si>
  <si>
    <t>César Garraza, Responsable Técnico y organizativo, Avinguda de les Puntes, s/n, 43120 Constantí, Mail: cgarraza@global-talke.com, Tlf: 977.524.380</t>
  </si>
  <si>
    <t>Se llevó a cabo un estudio de apantallamiento que justificara la situación de apantallamiento para la construcción de dos silos, haciendo viable su instalación.</t>
  </si>
  <si>
    <t>El alcance del estudio de apantallamiento se fijó con respecto a la Guía para la realización de estudios de apantallamientos elaborada por AESA, conteniendo los siguientes puntos:
• Antecedentes y objeto del estudio.
• Ubicación de la parcela y los silos.
• Análisis de seguridad.
• Medidas de mitigación de riesgos.
• Conclusiones.
• Anejos.</t>
  </si>
  <si>
    <t>Consigna MAD</t>
  </si>
  <si>
    <t>Oferta de colaboración en la preparación del concurso de Aena MAD 220/12: "Arrendamiento de dos locales de consigna y un local comercial destinado a la actividad de artículos y servicios para el viajero en el Aeropuerto de Madrid/Barajas"</t>
  </si>
  <si>
    <t>13.315,10 $</t>
  </si>
  <si>
    <t>Excess Baggage Group Ltd</t>
  </si>
  <si>
    <t>David Elliott, CEO, 4 Hannah Close Street, London NW10 0UX, Mail: David.Elliott@excess-baggage.com, Tlf: 0044.020.8324.2002</t>
  </si>
  <si>
    <t>El alcance del expediente fue la presentación de la documentación técnica necesaria respecto al expediente MAD 220/12.</t>
  </si>
  <si>
    <t>La documentación a entregar incluyó:
• Sobre 1: Documentación Administrativa.
• Sobre 2: Documentación Técnica.
• Sobre 3. Estudio de Viabilidad Económica.
• Anexos adicionales.</t>
  </si>
  <si>
    <t>Drag_Pzas com MAD</t>
  </si>
  <si>
    <t>3.815,56 $</t>
  </si>
  <si>
    <t>El alcance de la oferta fue la preparación de la documentación técnica para la presentación por parte de DRAGADOS del expediente DIN 394/2012.</t>
  </si>
  <si>
    <t>Los puntos realizados por AIRIA fueron:
• Operatividad (Apartado 7.2).
• Servicios afectados (Apartado 7.3)
• Análisis de tráfico y perfil del pasajero del Aeropuerto de Madrid-Barajas</t>
  </si>
  <si>
    <t>Drag_conservacion MAD</t>
  </si>
  <si>
    <t>Colaboración en la preparación del concurso Aena Aeropuertos MAD 292/12: "Programación y ejecución de actividades de conservación integral en el área de movimientos y accesos del Aeropuerto de Madrid-Barajas"</t>
  </si>
  <si>
    <t>3.138,43 $</t>
  </si>
  <si>
    <t xml:space="preserve">El alcance de la oferta fue la preparación de la documentación técnica para la presentación por parte de DRAGADOS del expediente MAD 292/2012. </t>
  </si>
  <si>
    <t>Los puntos realizados por AIRIA fueron:
• Plan de Seguridad Operacional específico y detallado (análisis de actuaciones en materia de seguridad operacional que podrían afectar a las operaciones aeroportuarias y los riesgos asociados). Ello incluyó un estudio de las afecciones operacionales, una definición de indicadores de seguridad operacional, su medición y seguimiento, la gestión de los riesgos, y las medidas de prevención y protección.</t>
  </si>
  <si>
    <t>Colaboración en la preparación del concurso Aena Aeropuertos: "Proyecto suministro e instalación: Adecuación de las plazas del área comercial de los Terminales T4 y T4S del Aeropuerto de Madrid-Barajas"</t>
  </si>
  <si>
    <t>RSO Teruel</t>
  </si>
  <si>
    <t>Prestación del servicio de responsable de seguridad operacional en el Aeropuerto de Teruel</t>
  </si>
  <si>
    <t>Caudé</t>
  </si>
  <si>
    <t>15.981,28 $</t>
  </si>
  <si>
    <t>Consorcio del Aeródromo/Aeropuerto de Teruel</t>
  </si>
  <si>
    <t>Alejandro Ibrahim Perera, Director del Aeropuerto de Teruel, Apartado de correos 174, Polígono de Tiro, 4, 44396 Caudé, Teruel, Tlf. 978.61.77.42, Mail: aibrahim@aeropuertodeteruel.com</t>
  </si>
  <si>
    <t>El proyecto consistía en el desarrollo y consecución de las tareas derivadas como Responsable de Seguridad Operacional, entre las cuales:
• Desarrollo del Sistema de Gestión de Riesgos
• Control de Proveedores Externos
• Indicadores de Seguridad Operacional
• Tratamiento de incidentes y accidentes
• Gestión de la documentación
• Auditorías internas del SGSO
• Realización de formación en Seguridad Operacional
• Comunicaciones en materia de Seguridad Operacional
• Elaboración del Programa de Seguridad Operacional</t>
  </si>
  <si>
    <t>Las distintas tareas/actividades realizadas por AIRIA fueron:
• Identificación de peligros y riesgos potenciales, determinación de la severdidad de las consecuencias, evaluación de la probabilidad de la ocurrencia, determinación de la tolerabbilidad del riesgo, mitigación de riesgos, Estudios Aeronáuticos de Seguridad
• Clasificación de empresas externas, todas las actuaciones respecto a los proveedores externos
• Definición de los indicadores, recogida de datos, seguimiento de indicadores
• Todas las actuaciones relativas al tratamiento de accidentes/incidentes
• Elaboración y aprobación de la gestión de la documentación, control, archivo, mantenimiento y actualización, distribución y ubicación
• Desarrollo de otros documentos relacionados con el SGSO
• Realización de auditorías internas del SGSO (programación, desarrollo, activación del procedimiento)
• Detección de necesidades de formación en materia de Seguridad Operacional, desarrollo de cursos de formación, seguimiento de las acciones formativas, activación del procedimiento.
• Recepción de comunicaciones, análisis de partes de servicios lado aire, comunicaciones del Responsable de Seguridad Operacional, registro de comunicaciones
• Elaboración del Programa de Seguridad Operacional, seguimiento del programa, activación</t>
  </si>
  <si>
    <t>PGOU Tenerife</t>
  </si>
  <si>
    <t>Estudio Aeronáutico sobre la afección de las Servidumbres Aeronáuticas en el PGOU del municipio de Santa Cruz de Tenerife</t>
  </si>
  <si>
    <t>Santa Cruz de Tenerife</t>
  </si>
  <si>
    <t>Marzo 2013</t>
  </si>
  <si>
    <t>11.715,37 $</t>
  </si>
  <si>
    <t>Ayuntamiento de Santa Cruz de Tenerife</t>
  </si>
  <si>
    <t>Fermín García Morales, Director Técnico de Urbanismo, Gerencia Municipal de Urbanismo, Mail: fgarmor@santacruzdetenerife.es</t>
  </si>
  <si>
    <t>La descripción del proyecto fue la elaboración de un Estudio Aeronáutico para analizar en detalle las afecciones sobre el suelo de las Servidumbres Aeronáuticas del Aeropuerto de Tenerife Norte.</t>
  </si>
  <si>
    <t>Las actividades realizadas por AIRIA fueron:
• Análisis de la situación de las servidumbres de aeródromo, radioeléctricas y operacionales del Aeropuerto de Tenerife Norte respecto del término municipal de Santa Cruz de Tenerife
• Delimitación de las zonas de afección en el ámbito de estudio del término municipal.
• Utilización de cartografía.
• Construcción del modelo de la superficie del terreno y de las servidumbres.
• Construcción de la superficie envolvente crítica.
• Delimitación de las intersecciones de la familia de superficies.
• Delimitación de la envolvente sonora.
• Cálculo de las máximas alturas posibles de edificación y elaboración del mapa de alturas máximas.</t>
  </si>
  <si>
    <t>Drag_campa Teruel</t>
  </si>
  <si>
    <t>Colaboración en la preparación del concurso de PLATA: "Ejecución de las obras de pavimentación de la campa del aeropuerto de Teruel para el estacionamiento de aeronaves"</t>
  </si>
  <si>
    <t>1.612,21 $</t>
  </si>
  <si>
    <t>El alcance de la oferta fue la preparación de la documentación técnica para la presentación por parte de DRAGADOS del expediente en cuestión.</t>
  </si>
  <si>
    <t>Los trabajos desarrollados fueron:
• Redacción del apartado "Propuesta de Programa de la Seguridad Operacional" de la Memoria Constructiva de la oferta.</t>
  </si>
  <si>
    <t>AERO_BIO_CON</t>
  </si>
  <si>
    <t>Estudio Aeronáutico de Seguridad por vulneración de la Superficie Cónica del aeropuerto de Bilbao</t>
  </si>
  <si>
    <t>Zamudio</t>
  </si>
  <si>
    <t>6.319,85 $</t>
  </si>
  <si>
    <t>Ayuntamiento de Zamudio</t>
  </si>
  <si>
    <t>Aitziber, Ayuntamiento de Zamudio, Mail: udala@zamudiokoudala.net</t>
  </si>
  <si>
    <t>El proyecto consistió en el desarrollo y consecución de un Estudio Aeronáutico de Seguridad que pudiera permitir la construcción de unas nuevas instalaciones deportivas en Zamudio.</t>
  </si>
  <si>
    <t>El alcance del estudio aeronáutico se fijó con respecto al documento "Directrices para la elaboración de estudios aeronáuticos de seguridad en el caso de vulneración de servidumbres de aeródromo", elaborado por AESA. Los apartados principales del estudio fueron:
• Antecedentes
• Objeto del estudio
• Ubicación de la parcela y los silos
• Servidumbres vulneradas por los silos
• Análisis de seguridad
• Medidas de seguridad de riesgos
• Anejos: planos</t>
  </si>
  <si>
    <t>Ciclo Ingresos MAD</t>
  </si>
  <si>
    <t>Febrero 2014</t>
  </si>
  <si>
    <t>19.346,49 $</t>
  </si>
  <si>
    <t>AENA AEROPUERTOS S.A.</t>
  </si>
  <si>
    <t>Cecilio Raul Sánchez Sánchez, Jefe Departamento Facturación, Cobros y Pagos, Terminal T-2, 4ª planta, Avenida de Hispanidad s/n, 28042, Mail: cssanchez@aena.es, Tlf: 91.393.65.61</t>
  </si>
  <si>
    <t>El expediente consistió en el análisis, comprobación y cotejo de la información asociada a los ingresos aeroportuarios con el propósito de ayudar a la Dirección a identificar y controlar las funciones implicadas en los procesos con el fin de mejorarlos y aumentar la calidad de servicio a los clientes del Aeropuerto de Madrid-Barajas.</t>
  </si>
  <si>
    <t>Los trabajos a realizar por parte de AIRIA fueron los siguientes:
• Revisión locales arrendados en el Aeropuerto de Madrid-Barajas
• Comprobación de arrendatarios de locales</t>
  </si>
  <si>
    <t>Análisis de posibles desviaciones en los conceptos de ciclo de ingresos de facturación en el Aeropuerto de Madrid-Barajas</t>
  </si>
  <si>
    <t>Aero_ALB_ILS</t>
  </si>
  <si>
    <t>Análisis afección por Servidumbres Parque eólico "El Entinar"</t>
  </si>
  <si>
    <t>Balazote/Lezuza</t>
  </si>
  <si>
    <t>7.093,71 $</t>
  </si>
  <si>
    <t>Tribunal Superior de Justicia de Madrid</t>
  </si>
  <si>
    <t>José Francisco Duchel Rubio, Abogado, Calle Adelfa 31, 45005 Toledo, Mail: joseduchel@yahoo.es, Tlf: 925.281.553</t>
  </si>
  <si>
    <t>El objeto del expediente fue informar sobre si la ligera vulneración de las servidumbres operacionales producidas ponía en peligro las maniobras de aproximación y salida de las aeronaves en la Base Aérea de los Llanos, en Albacete.</t>
  </si>
  <si>
    <t>El alcance de los servicios estuvo acotado al análisis de los puntos de conflicto entre Sistemas Energéticos Balazote, S.A.U. y el Ministerio de Defensa. Los puntos en cuestión fueron:
• Vulneración de Servidumbres de Operación de las aeronaves de la base aérea de "Los Llanos"
• Alcance del estudio aeronáutico de seguridad presentado por Sistemas Energéticos Balazote, S.A.U en el escrito de reposición
• Protección de procedimientos de vuelo instrumentales bajo reglas de vuelo militares</t>
  </si>
  <si>
    <t>Libia</t>
  </si>
  <si>
    <t>Propuesta para remodelación del Aeropuerto de Tobruk (Libia)</t>
  </si>
  <si>
    <t>Tobruk</t>
  </si>
  <si>
    <t>Octubre 2013</t>
  </si>
  <si>
    <t>25.975,32 $</t>
  </si>
  <si>
    <t>Javier Pernas. Mail: javier_pernas@assignia.com</t>
  </si>
  <si>
    <t>El alcance de la oferta fue la colaboración con ASSIGNIA Infraestructuras para la realización de los trabajos de ingeniería necesarios para la Remodelación del aeropuerto de Tobruk (Libia).
En la oferta se incluyeron los siguientes puntos:
• Preparación de documentación para conseguir la realización de las actuaciones
• Realización de los proyectos básicos y de ejecución necesarios
• Apoyo en la supervisión de obras, realización de modificados de proyecto y asesoría aeronáutica en el periodo de actuación</t>
  </si>
  <si>
    <t>Las tareas incluidas por apartado fueron:
• Configuración preliminar para el campo de vuelo
• Desarrollo de imagen en Autocad del campo de vuelo para presentación
• Dimensionamiento y configuración preliminar de plataforma comercial
• Anteproyectos de edificaciones del aeropuerto incluyendo edificio terminal de pasajeros y hangar de mantenimiento
• Ubicación, situación y dimensionamiento en planta de torre de control, central eléctrica y terminal de carga
• Organización y planificación de espacios y usos, incluyendo ubicaciones y diseño de espacios de crecimientos futuros así como red de viarios
• Propuesta temporal de desarrollo por fases
• Render: edificio terminal de pasajeros interior y exterior, y 3 visuales de hangar de mantenimiento</t>
  </si>
  <si>
    <t>Drag_IBZ_TWR</t>
  </si>
  <si>
    <t>Colaboración en la preparación del concurso de Aena: DIN 135/13 Adecuación y refuerzo de estructura de la Torre de Control del aeropuerto de Ibiza</t>
  </si>
  <si>
    <t>Eivissa</t>
  </si>
  <si>
    <t>4.084,26 $</t>
  </si>
  <si>
    <t>Los puntos realizados por AIRIA fueron:
• A.1.2. Mantenimiento de la operatividad aeroportuaria
• A.1.3. Seguridad Operacional
• A.3. Análisis detallado del proyecto y propuestas de optimización
   - A.3.1. Estudio de las mediciones de las unidades del proyectos
    - A.3.2. Estudio de las nuevas unidades necesarias para ejecutar la obra
    - A.3.3. Presentación de alternativas al proyecto encaminados a la mejora de procesos</t>
  </si>
  <si>
    <t>Plan Estratégico Galicia</t>
  </si>
  <si>
    <t>Elaboración del Plan Estratégico del Sistema Aeroportuario de Galicia</t>
  </si>
  <si>
    <t>Galicia</t>
  </si>
  <si>
    <t>24.613,03 $</t>
  </si>
  <si>
    <t>Xunta de Galicia</t>
  </si>
  <si>
    <t>Pedro Pedrouzo Devesa, Área de Contratación, Axencia Turismo de Galicia, Praza de Mazarelos 15, 15703 Santiago de Compostela, Mail: pedro.felipe.pedrouzo.devesa@xunta.es, Tlf: 981.547.499</t>
  </si>
  <si>
    <t>Los trabajos desarrollados fueron:
• Identificación de la situación actual del sistema aeroportuario de Galicia compuesto por los aeropuertos de A Coruña, Santiago y Vigo (estructura del tráfico comercial y oferta de vuelos, conectividad terrestre, análisis socioeconómico y de costes, análisis de elasticidad de precios del billete aéreo, aeropuertos competidores y demanda potencial)
• Benchmarking internacional de sistemas multiaeroportuarios
• Definición de líneas estratégicas (programa de desarrollo, propuesta de rutas, gestión y formulación de la promoción)</t>
  </si>
  <si>
    <t>Los servicios incluyeron la redacción del Plan Estratégico de Galicia. Dicho entregable estuvo formado por los siguientes apartados:
• Situación actual 
   - Marco Normativo e Institucional
   - Sistema Aeroportuario Gallego
   - Estructura del Tráfico Comercial
   - Oferta de Vuelos Comerciales
   - Perfil del Pasajero
   - Conectividad terrestre
   - Análisis socioeconómico y de costes
   - Aeropuertos competidores: Oporto
   - Demanda potencial
   - Análisis de la situación actual
• Sistemas Aeroportuarios Múltiples. Benchmarking Internacional
   - Descripción de sistemas aeroportuarios múltiples en otras áreas geográficas
   - Ventajas y desventajas de los sistemas aeroportuarios múltiples
   - Causas subyacentes en la elección de un aeropuerto
    - Modelos de distribución de los segmentos de tráfico en sistemas aeroportuarios múltiples
• Definición de líneas estratégicas
   - Programa de desarrollo de los servicios aéreos
   - Rutas propuestas
   - Gestión de la promoción
   - Aeropuertos donde operar
   - Gestión en los aeropuertos de Galicia
   - Formulación de la promoción de rutas</t>
  </si>
  <si>
    <t>Arequipa Peru</t>
  </si>
  <si>
    <t>Evaluación Técnico-Económica para la reubicación del aeropuerto internacional Rodriguez Ballón - Arequipa</t>
  </si>
  <si>
    <t>Arequipa</t>
  </si>
  <si>
    <t>Septiembre 2013</t>
  </si>
  <si>
    <t>22.050,00 $</t>
  </si>
  <si>
    <t>Luis Núñez Vidal, Coordinador Nacional, Mail: lnunez@mtc.gob.pe</t>
  </si>
  <si>
    <t>El proyecto consistió en asesorar y prestar asistencia en la esfera de su especialidad a la DGAC para evaluar la pre-factibilidad técnico-económica de implementar un nuevo aeropuerto en Arequipa.</t>
  </si>
  <si>
    <t>Los servicios prestados estuvieron relacionados con tres servicios: diagnóstico, estudio e informe:
•Tomar conocimiento de la demanda actual de transporte aéreo en Arequipa y su área de influencia. Obtener información sobre las proyecciones de la demanda a medio y largo plazo.
• Tomar conocimiento de los estudios y documentos existentes sobre los dos sitios probables.
• Determinar la posible ubicación del nuevo aeropuerto de Arequipa.
• Desarrollar las evaluaciones técnico-económicas de Arequipa considerando los ratios de demanda y usando criterios de la OACI e información secundaria.
• Considerar el área de terreno suficiente para la máxima ampliación de pistas requeridas, incluyendo la protección por aproximaciones e instalación de ayudas visuales y radio ayudas.
• Establecer la capacidad última de los aeropuertos propuestos de Arequipa.
• Diseñar la probable configuración aeroportuaria, tanto de lado aire como tierra, accesos, instalaciones básicas y de ayudas...
• Determinar el coste estimado de todo el sistema aeroportuario de Arequipa utilizando valores referenciales o similares.
• Preparar y entregar el plan de trabajo de la misión.
• Consolidar los estudios efectuados con la colaboración de los otros consultores del proyecto y preparar el informe de pre-factibilidad.</t>
  </si>
  <si>
    <t>EIA Son Espases</t>
  </si>
  <si>
    <t>Elaboración del Estudio de Impacto Ambiental del proyecto y estudio de ruido</t>
  </si>
  <si>
    <t>13.865,75 $</t>
  </si>
  <si>
    <t>Concessionària Hospital Universitari Son Espases S.A.</t>
  </si>
  <si>
    <t>Tito Amatller, Director Técnico, Pasaje Sta Catalina de Siena, nº2 3E, 07002 Palma de Mallorca, Mail: tito@natingenieros.com, Tlf: 971.728.420</t>
  </si>
  <si>
    <t>Realización de un Estudio de Impacto Ambiental y respuesta a las consultas realizadas por los distintos organismos.</t>
  </si>
  <si>
    <t>El alcance de la propuesta englobó la redacción del Estudio de Impacto Ambiental:
• Descripción detallada y justificación de la solución.
• Estudio de alternativas propuestas.
• Inventario y caracterización de los elementos del medio.
• Impactos ambientales significativos.
• Medidas preventivas y correctoras.
• Programa de vigilancia ambiental del proyecto.
• Normativa aplicable.
• Cartografía en formato ArcGIS.
• Resumen del estudio y conclusiones.</t>
  </si>
  <si>
    <t>Drag_ACE_costa</t>
  </si>
  <si>
    <t>5.266,83 $</t>
  </si>
  <si>
    <t xml:space="preserve">Los apartados desarrollados fueron:
• Mantenimiento de la operatividad aeroportuaria.
• Seguridad Operacional.
• Análisis detallado del proyecto y propuestas de optimización:
   - Estudio de las mediciones de las unidades del proyecto.
   - Estudio de las nuevas unidades necesarias para ejecutar la obra.
   - Presentación de alternativas al proyecto encaminadas a la mejora de procesos. </t>
  </si>
  <si>
    <t>Drag_AGP_urb</t>
  </si>
  <si>
    <t>Oferta de colaboración en la preparación del concurso de Aena Aeropuertos: 553/2013 "Urbanización Zona entre Terminal T3 y Nueva Estación de Ferrocarril"</t>
  </si>
  <si>
    <t>Colaboración en la preparación del concurso de Aena Aeropuertos: DIN 199/2013 "Actuaciones en línea de costa. Aeropuerto de Lanzarote"</t>
  </si>
  <si>
    <t>1.268,34 $</t>
  </si>
  <si>
    <t>Los apartados desarrollados fueron:
• Mantenimiento de la operatividad aeroportuaria.
• Seguridad Operacional.</t>
  </si>
  <si>
    <t>Cobeña_SEG</t>
  </si>
  <si>
    <t>Estudio aeronáutico de seguridad para la aprobación de la Modificación puntual de una Norma Subsidiaria del municipio de Cobeña (Madrid)</t>
  </si>
  <si>
    <t>Cobeña</t>
  </si>
  <si>
    <t>10.963,61 $</t>
  </si>
  <si>
    <t>AVANCE CARTON ONDULADO S.L.</t>
  </si>
  <si>
    <t>Angel Tutor, Gerente, Mail: atutor@cartonajespetit.es, Tlf: 93.685.94.08</t>
  </si>
  <si>
    <t>El expediente consistió en realizar un estudio aeronáutico de seguridad o apantallamiento que acreditara que no se comprometía la seguridad ni quedaba afectada de modo significativo la regularidad de las operaciones de las aeronaves.</t>
  </si>
  <si>
    <t>El enfoque metodológico incluyó las siguientes tareas:
• Análisis de la situación de las servidumbres de aeródromo, radoeléctricas y operacionales del Aeropuerto de Madrid-Barajas.
• Delimitación de las zonas de afección en el ámbito de estudio del término municipal.
• Cálculo de las máximas alturas posibles, correspondientes a las alturas máximas de edificiación.
• Elaboración del mapa de alturas máximas.</t>
  </si>
  <si>
    <t>Drag_RNAV ZGZ</t>
  </si>
  <si>
    <t>Oferta de colaboración en la preparación del concurso de Aena Aeropuertos: DIN 293/2013 "Actuaciones para puesta en categoría II/III. Aeropuerto de Zaragoza"</t>
  </si>
  <si>
    <t>Zaragoza</t>
  </si>
  <si>
    <t>Diciembre 2013</t>
  </si>
  <si>
    <t>4.449,94 $</t>
  </si>
  <si>
    <t>Los trabajos desarrollados tuvieron como alcance:
• Análisis detallado del proyecto y propuestas de optimización
   - Estudio de las mediciones de las unidades del proyecto.
   - Estudio de las nuevas unidades necesarias para ejecutar la obra.
   - Presentación de alternativas al proyecto encaminadas a la mejora de prcoesos.</t>
  </si>
  <si>
    <t>ANÁLISIS ECO-ADMIN MAD</t>
  </si>
  <si>
    <t>Servicio de análisis de seguimiento y presentación de datos de las aplicaciones informáticas en materia económico-administrativa del Aeropuerto de Madrid-Barajas</t>
  </si>
  <si>
    <t>Diciembre 2016</t>
  </si>
  <si>
    <t>92.187,86 $</t>
  </si>
  <si>
    <t>Aena, S.A.</t>
  </si>
  <si>
    <t>María Teresa Arévalo Alonso, Jefe del Departamento de Contratación y Asuntos Generales, Avenida de la Hispanidad, s/n, 28042 Barajas, Madrid, Tlf: 913.936.000</t>
  </si>
  <si>
    <t>El servicio a realizar fue, principalmente, el análisis, gestión documental, tratamiento y presentación de datos de las aplicaciones SAP-R3, SIGA, SINTESIS, XRT Treasury para la confección de informes de seguimiento de las actividades realizadas dentro del área económico-administrativa que servían de base para el control y gestión del Aeropuerto de Madrid-Barajas.</t>
  </si>
  <si>
    <t>Los servicios a desarrollar fueron:
• Procedimiento de análisis, gestión, tratamiento y presentación de datos en materia económico-administrativa.
• Utilización de software y hardware necesario para la realización del servicio.
• Realización de informes de seguimiento conforme a plazos y métodos de entrega.
• Procedimiento de implantación de mejoras (fases, plazos y métodos) detectadas en el análisis y seguimiento del control de gestión.</t>
  </si>
  <si>
    <t>Jartum Sudan</t>
  </si>
  <si>
    <t>Preliminary and Detail Design of the Khartoum New International Airport (KNIA)</t>
  </si>
  <si>
    <t>Sudan</t>
  </si>
  <si>
    <t>Khartoum</t>
  </si>
  <si>
    <t>Junio 2014</t>
  </si>
  <si>
    <t>EPTISA</t>
  </si>
  <si>
    <t>Emilio Padilla Moral, Infraestructura del Transporte, Aeropuertos y Transporte Aéreo, Calle Emilio Muñoz, 35-37 - Edificio I - Planta 2ª - Ala Izquierda, 28037 Madrid, Mail: epadilla@eptisa.com, Tlf: 91.594.95.00</t>
  </si>
  <si>
    <t>El acuerdo con EPTISA incluyó el soporte técnico y administrativo relativo al proyecto de Plan Maestro del Nuevo Aeropuerto Internacional de Khartoum.</t>
  </si>
  <si>
    <t>Las principales tareas a desarrollar por parte de AIRIA fueron:
• Revisión del Plan Maestro desarrollado por MEFIT.
• Asesoramiento para la necesidad de estudios de planificación, incluyendo simulaciones.
• Asesoramiento para definir los procedimientos de trabajo y el alcance para el diseño del nuevo aeropuerto.</t>
  </si>
  <si>
    <t>700.000.000,00 $</t>
  </si>
  <si>
    <t>19.884,98 $</t>
  </si>
  <si>
    <t>Drag_OVD-FUE</t>
  </si>
  <si>
    <t>Colaboración en la preparación de los concursos de Aena Aeropuertos: DIN 334/2013 "Ejecución  de requerimientos de seguridad operacional para certificación en el Aeropuerto de Fuerteventura" y DIN 335/13 "Actuaciones en campo de vuelo necesarias para la certificación en el Aeropuerto de Asturias"</t>
  </si>
  <si>
    <t>Enero 2014</t>
  </si>
  <si>
    <t>14.080,72 $</t>
  </si>
  <si>
    <t>El alcance de la oferta fue la preparación de la documentación técnica para la presentación por parte de DRAGADOS de los expedientes en cuestión.</t>
  </si>
  <si>
    <t>Los trabajos a desarrollar fueron los siguientes:
• Mantenimiento de la operatividad aeroportuaria.
• Seguridad Operacional.
• Análisis detallado del proyecto y propuestas de optimización:
   - Estudio de las mediciones de las unidades del proyecto.
   - Estudio de las nuevas unidades necesarias para ejecutar la obra.
   - Presentación de alternativas al proyecto encaminadas a la mejora de procesos.</t>
  </si>
  <si>
    <t>14</t>
  </si>
  <si>
    <t>Drag_VGO-LECO-TFN</t>
  </si>
  <si>
    <t>Colaboración en la preparación de los concursos de Aena Aeropuertos: DIN 316/2013 "Actuaciones en campo de vuelo necesarias para la certificación en el Aeropuerto de Tenerife Norte", DIN 276/13 "Actuaciones en campo de vuelo necesarias para la certificación en el Aeropuerto de Vigo" y DIN 306/13 "Adecuación de campo de vuelo en el Aeropuerto de A Coruña"</t>
  </si>
  <si>
    <t>11.661,73 $</t>
  </si>
  <si>
    <t>Los trabajos a desarrollar fueron:
• Mantenimiento de la operatividad aeroportuaria.
• Seguridad Operacional.
• Análisis detallado del proyecto y propuestas de optimización
   - Estudio de las mediciones de las unidades del proyecto.
   - Estudio de las nuevas unidades necesarias para ejecutar la obra.
   - Presentación de alternativas al proyecto encaminadas a la mejora de procesos.</t>
  </si>
  <si>
    <t>Ciclo Ingresos MAD 2014</t>
  </si>
  <si>
    <t>Realización del análisis de posibles desviaciones en el ciclo de ingresos de facturación en el Aeropuerto de Madrid-Barajas</t>
  </si>
  <si>
    <t>Septiembre 2015</t>
  </si>
  <si>
    <t>40.672,77 $</t>
  </si>
  <si>
    <t>Aena Aeropuertos, S.A.</t>
  </si>
  <si>
    <t>Ana Belén Rodríguez Peñas, División Económico-Administrativa, Aeropuerto de Madrid-Barajas, Terminal T2 - 4ª Planta, 28042 Madrid, Mail: abrpenas@aena.es, Tlf: 913.936.364</t>
  </si>
  <si>
    <t>El proyecto consistió en el análisis de desviaciones en el ciclo de ingresos en facturación en el Aeropuerto de Madrid-Barajas.</t>
  </si>
  <si>
    <t>Se proporcionaron los siguientes servicios:
• Ámbito del control econoómico
   - Mejora en materia de elaboración y       seguimiento del presupuesto de cobro de ingresos (análisis mensual de las desviaciones presupuestarias de ingresos y sus justificaciones, profundización en las variables que condicionan la evolución de los ingresos aeroportuarios, asesoramiento en la elaboración de la estimación de cierre de ingresos).
   - Elaboración de un Cuadro de Mando de Ingresos
   - Elaboración de estudios a medida relacionados con el cilo de ingresos
• Ámbito de la facturación
   - Trabajos de campo
   - Análisis de datos
   - Arrendamiento de locales, servicios y suministros asociados
   - Servicios de telecomunicaciones
   - Cánones comerciales fijos y variables</t>
  </si>
  <si>
    <t>Nuevo Helipuerto Son Espases</t>
  </si>
  <si>
    <t>Asesoramiento en la Legalización del Helipuerto en el Hospital Universitari Son Espases</t>
  </si>
  <si>
    <t>Marzo 2014</t>
  </si>
  <si>
    <t>6.547,31 $</t>
  </si>
  <si>
    <t>Redacción de un estudio aeronáutico de seguridad para la demostración de la operación de los helicópteros usuarios del helipuerto sanitario del Hospital de Son Espases en condiciones de seguridad, considerando una elevación del borde inferior de la superficie limitadora de obstáculos de 8,25 m con respecto de la FATO.</t>
  </si>
  <si>
    <t>Se desarrollaron los distintos trabajos en cuatro fases:
• Fase 1. Solicitud de compatibilidad del espacio aéreo. Se redactó un estudio de la afección del Helipuerto y de las operaciones previstas con respecto al espacio aéreo circundante.
• Fase 2. Estudio de documentación ambiental.
• Fase 3. Documentación administrativa y estudio técnico. Realización de estudio técnico, compilación de documentación administrativa y realización de documento de compatibilidad urbanística.
• Faes 4. Evaluación "in-situ" del helipuerto.</t>
  </si>
  <si>
    <t>EAS SILOS REUS II</t>
  </si>
  <si>
    <t>Estudio aeronáutico de seguridad para la construcción de un almacén logístico en el término municipal de Constantí (Reus)</t>
  </si>
  <si>
    <t>4.829,98 $</t>
  </si>
  <si>
    <t>Global Talke S.L.</t>
  </si>
  <si>
    <t>Se llevó a cabo la realización de un estudio aeronáutico de seguridad que justificara que la nueva construcción no comprometía la seguridad de las operaciones aéreas.</t>
  </si>
  <si>
    <t>El alcance del estudio de seguridad se fijó con respecto a la Guía para la realización de estudios de seguridad elaborada por AESA. El contenido era:
• Memoria
• Anexos
• Planos: aproximaciones/despegues desde la pista 25, aproximaciones/despegues desde la pista 17, procedimientos de vuelo visual, procedimientos de fallo de motor.</t>
  </si>
  <si>
    <t>BOD Plataforma Prueba Motores</t>
  </si>
  <si>
    <t>Proyecto de ejecución de rodaje motores</t>
  </si>
  <si>
    <t>Getafe</t>
  </si>
  <si>
    <t>Septiembre 2014</t>
  </si>
  <si>
    <t>1 semana</t>
  </si>
  <si>
    <t>1.288,00 $</t>
  </si>
  <si>
    <t>B.O.D. Arquitectura e Ingeniería, S.A.</t>
  </si>
  <si>
    <t>Juan Luis Córdoba, Arquitecto, Calle Jerez, 3 - 28016 Madrid, Mail: jlcordoba@bodai.es</t>
  </si>
  <si>
    <t>El proyecto consistió en estudiar la posible instalación de un área de rodaje para un avión modelo A330-200, con una superficie optimizada, deflector, dotada de saneamiento, señalización y toma de tierras. También se llevó a cabo el estudio de eliminación de obstáculos.</t>
  </si>
  <si>
    <t>El alance de los trabajos fue:
• Planteamiento de los requisitos del trabajo.
• Revisión de las maniobras del avión.
• Revisión del proyecto antes de la entrega e inclusión en la memoria de los apartados aeronáuticos.</t>
  </si>
  <si>
    <t>Estudio Parte 145</t>
  </si>
  <si>
    <t>Estudio de mercado de Centros de Mantenimiento Parte 145</t>
  </si>
  <si>
    <t>Abril 2014</t>
  </si>
  <si>
    <t>13.974,76 $</t>
  </si>
  <si>
    <t>Grupo Cobra</t>
  </si>
  <si>
    <t>Pablo Rodríguez, Mail: pablo.rodriguez@grupocobra.com</t>
  </si>
  <si>
    <t>El objeto del proyecto fue realizar un estudio de mercado en el que se describiera la viabilidad de un centro de mantenimiento aprobado Parte 145 para prestar servicios de mantenimiento en España a operadores ubicados en Europa y Norte de África.</t>
  </si>
  <si>
    <t>La descripción de los servicios realizados fue:
• Investigación del modelo de negocio más viable, con indicación del tipo de flota y alcance de trabajos, determinando la ubicación del centro de mantenimiento.
Se redactó una memoria con los siguientes apartados:
   - Definición del estudio de mercado.
   - Análisis previo de la situación actual.
   - Análisis de la atractividad-competividad.
   - Identificación de oportunidades de innovación.
   - Descripción de los posibles clientes.
   - Perspectivas del sector.
   - Análisis de la demanda.
   - Análisis DAFO</t>
  </si>
  <si>
    <t>Drag_Link PMI</t>
  </si>
  <si>
    <t>Oferta de colaboración en la preparación del concurso de Aena Aeropuertos: DIN 98/14 "Actuaciones en la link. Aeropuerto de Palma de Mallorca"</t>
  </si>
  <si>
    <t>UTE Cobra - DRAGADOS</t>
  </si>
  <si>
    <t>El alcance del trabajo fue la preparación de la documentación técnica por parte de la UTE Cobra - DRAGADOS relativa al expediente DIN 98/14.</t>
  </si>
  <si>
    <t>AIRIA llevó a cabo los siguientes apartados:
• Mantenimiento de la operatividad aeroportuaria.
• Seguridad Operacional.
• Análisis detallado del proyecto y propuestas de optimización, tanto del Sobre 3 - Documentación Técnica, como del Sobre 4 - Variante económica:
   - Estudio de las mediciones de las unidades del proyecto.
   - Estudio de las nuevas unidades necesarias para ejecutar la obra.
   - Presentación de alternativas al proyecto encaminadas a la mejora de prcoesos.</t>
  </si>
  <si>
    <t>Drag_CV BCN</t>
  </si>
  <si>
    <t>Oferta de colaboración en la preparación del concurso de Aena Aeropuertos: DIN 45/14 "Actuaciones en campo de vuelo. Aeropuerto de Barcelona-El Prat"</t>
  </si>
  <si>
    <t>7.164,48 $</t>
  </si>
  <si>
    <t>7.985,58 $</t>
  </si>
  <si>
    <t>El alcance del trabajo fue la preparación de la documentación técnica por parte de la UTE Cobra - DRAGADOS relativa al expediente DIN 45/14.</t>
  </si>
  <si>
    <t xml:space="preserve">AIRIA llevó a cabo los siguientes apartados:
• Proceso constructivo.
• Mantenimiento de la operatividad aeroportuaria.
• Seguridad Operacional.
• Planificación de la obra.
• Plazo de trabajo.
• Análisis detallado del proyecto y propuestas de optimización:
   - Estudio de las mediciones de las unidades del proyecto.
   - Estudio de las nuevas unidades necesarias para ejecutar la obra.
   - Presentación de alternativas al proyecto encaminadas a la mejora de procesos. </t>
  </si>
  <si>
    <t>Drag_RWY 18R MAD</t>
  </si>
  <si>
    <t>Oferta de colaboración en la preparación del concurso de Aena Aeropuertos: DIN 212/14 "Regeneración de los pavimentos de la pista 18R-36L. Aeropuerto Adolfo Suárez Madrid-Barajas"</t>
  </si>
  <si>
    <t>Julio 2014</t>
  </si>
  <si>
    <t>2 semanas</t>
  </si>
  <si>
    <t>10.867,47 $</t>
  </si>
  <si>
    <t>El alcance del trabajo fue la preparación de la documentación técnica por parte de DRAGADOS relativa al expediente DIN 212/14.</t>
  </si>
  <si>
    <t>El alcance de los trabajos incluyó:
• Mantenimiento de la operatividad aeroportuaria.
• Seguridad Operacional.
• Análisis detallado del proyecto y propuestas de optimización, tanto del Sobre 3 - Documentación Técnica, como del Sobre 4 - Variante económica.
   - Estudio de las mediciones de las unidades del proyecto.
   - Estudio de las nuevas unidades necesarias para ejecutar la obra.
   - Presentación de alternativas al proyecto encaminadas a la mejora de procesos.</t>
  </si>
  <si>
    <t>Análisis DORA Senasa</t>
  </si>
  <si>
    <t>Asesoría jurídica y legal para el análisis de implicaciones del RD-L 8/2014 de aprobación de medidas urgentes para el crecimiento, la competividad y la eficiencia</t>
  </si>
  <si>
    <t>Agosto 2014</t>
  </si>
  <si>
    <t>976,73 $</t>
  </si>
  <si>
    <t>SENASA</t>
  </si>
  <si>
    <t>Jose Manuel Herrero Borrell, Gerente de Aeropuertos y Medio Ambiente, Avenida de la Hispanidad, 12, 28042 Madrid, Mail: jmherrero@senasa.es</t>
  </si>
  <si>
    <t>El proyecto consistió en realizar un estudio rápido sobre los puntos relativos al DORA de la legislación, identificando los aspectos que eran competencia de AESA.</t>
  </si>
  <si>
    <t>El alcance de los trabajos incuyó una propuesta de indicadores de estándares de capacidad de las siguientes infraestructuras: campo de vuelos, terminales y aquellas otras relacionadas con los servicios aeroportuarios básicos. Las principales actividades fueron:
• Identificación de las referencias técnicas.
• Estudio de las referencias técnicas para la identificación de los parámetros de capacidad.
• Evaluación de los parámetros de capacidad.
• Elaboración de una lista de indicadores identificando la infraestructura referida, parámetro de capacidad, procedencia, forma de medición, valores...
• Elaboración de una lista corta.</t>
  </si>
  <si>
    <t>Subsanación de deficiencias para la certificación del Aeropuerto de Castellón</t>
  </si>
  <si>
    <t>SNC-Lavalin Aeropuerto Castellón, SAU</t>
  </si>
  <si>
    <t>Ivana Guinot Pandero, Directora de Operaciones y Mantenimiento, Mail: ivana.guinot@aeropuertocastellon.es, Tlf: 616.997.645</t>
  </si>
  <si>
    <t>El proyecto consistió en el apoyo técnico para la subsanación de las deficiencias detectadas en el Manual del Aeropuerto y Programa de Seguridad.</t>
  </si>
  <si>
    <t>Entre las necesidades detectadas, se incluyeron las siguientes tareas:
• Revisión y subsanación de procedimientos del Manual del Aeropuerto (Partes 0-6).
• Realización de procedimientos de menor nivel en el Manual de Aeropuerto.
• Subsanación de las deficiencias relativas a las responsabilidades asignadas en el Manual del Aeropuerto.
• Revisión y subsanación del Programa de Seguridad del Aeropuerto.
• Realización de procedimientos de menor nivel en el Programa de Seguridad.</t>
  </si>
  <si>
    <t>Drag_ERSO IBZ</t>
  </si>
  <si>
    <t>Oferta de colaboración en la preparación del concurso de Aena Aeropuertos: DIN 258/14 "Ejecución de requerimientos de seguridad operacional - Aeropuerto de Ibiza"</t>
  </si>
  <si>
    <t>7.062,51 $</t>
  </si>
  <si>
    <t>El alcance del trabajo fue la preparación de la documentación técnica por parte de DRAGADOS relativa al expediente DIN 258/2014.</t>
  </si>
  <si>
    <t>Los trabajos desarrollados por AIRIA fueron:
• Mantenimiento de la operatividad aeroportuaria.
• Seguridad Operacional.
• Análisis detallado del proyecto y propuestas de optimización:
   - Estudio de las mediciones de las unidades del proyecto.
   - Estudio de las nuevas unidades necesarias para ejecutar la obra.
   - Presentación de alternativas al proyecto encaminadas a la mejora de procesos.</t>
  </si>
  <si>
    <t>Prefactibilidad Paraguay</t>
  </si>
  <si>
    <t>Estudio de Pre-factibilidad del proyecto de modernización del Aeropuerto Internacional Silvio Pettirossi, Asunción, Paraguay, en la modalidad de participación público-privada</t>
  </si>
  <si>
    <t>Marzo 2015</t>
  </si>
  <si>
    <t>67.116,61 $</t>
  </si>
  <si>
    <t>ALAnetglobal Consortium</t>
  </si>
  <si>
    <t>Natalia Cardona, FWC PM, Mail: nc@alanetglobal.com, Tlf: 0032.4.86878218</t>
  </si>
  <si>
    <t>El alcance del proyecto fue el desarrollo de servicios relacionados con el sector de infraestructuras aeroportuarias para el proyecto de modernización del Aeropuerto Internacional Silvio Pettirossi.</t>
  </si>
  <si>
    <t>Los servicios realizados tuvieron el siguiente alcance:
• Realización de un inventario de las instalaciones del aeropuerto.
• Preparación de estudios de demanda futura de tráfico.
• Realización de análisis demanda-capacidad para determinar las necesidades futuras del área terminal de pasajeros y campo de vuelos.
• Definición de un programa de inversiones o CAPEX que respondiera a las necesidades futuras del proyecto de modernización.
• Estudio de los futuros ingresos de las instalaciones del proyecto, así como sus correspondientes costes.
• Definición de un modelo financiero para conocer la viabilidad económica-financiera del proyecto.
• Definición de la mejor opción para el desarrollo del proyecto como una Asociación Público-Privada.
• Proporción de un documento-resumen con las principales características del proyecto.
• Realización de una primera aproximación a la estrategia y directrices principales de comunicación a seguir en la implementación del proyecto.</t>
  </si>
  <si>
    <t>199.900.000 $</t>
  </si>
  <si>
    <t>Apoyo Manual Castellón</t>
  </si>
  <si>
    <t>Servicios de apoyo en la modificación del Manual del Aeropuerto de Castellón</t>
  </si>
  <si>
    <t>23.720,59 $</t>
  </si>
  <si>
    <t>8.049,97 $</t>
  </si>
  <si>
    <t>El proyecto consistió en la revisión y modificación de contenido respecto al Manual del Aeropuerto de Castellón y estudios adicionales de seguridad.</t>
  </si>
  <si>
    <t>Los servicios realizados fueron:
• Revisión de la documentación relacionada con el Manual del Aeropuerto.
• Análisis del cumplimiento de las normas vigentes (Reales Decretos, Leyes…)
• Revisión y modificación de la información descrita en el Estudio de seguridad.
• Redacción de análisis justificativo de la viabilidad de subsanación de los incumplimientos de métodos recomendados.</t>
  </si>
  <si>
    <t>Estudio Seguridad AIRM</t>
  </si>
  <si>
    <t>Estudio Aeronáutico de Seguridad</t>
  </si>
  <si>
    <t>Corvera</t>
  </si>
  <si>
    <t>Octubre 2014</t>
  </si>
  <si>
    <t>Noviembre 2014</t>
  </si>
  <si>
    <t>25.330,59 $</t>
  </si>
  <si>
    <t>El trabajo consistió en la realización del estudio de seguridad y su presentación ante AESA, la contestación de posibles requerimientos y la solución de las dudas con respecto al estudio de seguridad.</t>
  </si>
  <si>
    <t>El principal servicio fue la redacción del Estudio de Seguridad, estructurado de la siguiente manera:
• Objeto del estudio.
• Caracterización del escenario.
• Definición detallada del objeto de estudio.
• Identificación de peligros y sus efectos.
• Evaluación de riesgos.
• Aplicación de medidas alternativas.
• Anexos.
También se llevó a cabo una sesión de expertos que validó las hipótesis y la identificación de peligros sobre las operaciones de las aeronaves.</t>
  </si>
  <si>
    <t>Drag_Chile</t>
  </si>
  <si>
    <t>Asistencia Técnica para la preparación del Plan de Trabajo y la Memoria Explicativa en la licitación del Ministerio de Obras Públicas de la República de Chile: Proyecto Aeropuerto Internacional Arturo Merino Benítez de Santiago</t>
  </si>
  <si>
    <t>Pudahuel</t>
  </si>
  <si>
    <t>37.110,38 $</t>
  </si>
  <si>
    <t>Miguel Foulquié Echevarría, Dirección de Estudios y Desarrollo Internacional, Avenida Camino de Santiago 50, 28050 Madrid, Mail: mfoulquiee@dragados.com</t>
  </si>
  <si>
    <t>El alcance del proyecto consistió en la realización de los trabajos de ingeniería necesarios como parte del equipo técnico para la presentación de la propuesta en la licitación.</t>
  </si>
  <si>
    <t>Los trabajos consistieron en la preparación del Documento nº10 Plan de Trabajo y Plazos para Desarrollo del Proyecto de Ingeniería Definitiva y Ejecución de la Obra, en particular de los siguientes apartados:
• Cuadro general de actividades. Histograma de recursos.
• Secuencia constructiva de las obras
• Cronograma de Gantt.
• Programa de avance físico y financiero: inversiones mensuales y acumulada previstas.
• Descripción de las medidas y/o exigencias ambientales a implementar.
• Visualización.</t>
  </si>
  <si>
    <t>Castellón revisión manual</t>
  </si>
  <si>
    <t>Subsanación del Manual del Aeropuerto de Castellón</t>
  </si>
  <si>
    <t>27.992,45 $</t>
  </si>
  <si>
    <t>El alcance del proyecto fue la realización de los cambios necesarios relativos a la detección de no conformidades respecto a ciertas partes del Manual de aeropuerto, Dictamen y Plan de Formación, incluida en la Diligencia correspondiente a la inspección in situ realizada los días 23 al 26 de septiembre de 2014.</t>
  </si>
  <si>
    <t>AIRIA realizó las siguientes actividades:
• Normas técnicas: incorporación de los puntos detallados en la diligencia.
• Formación: adaptación de los cambios realizados en el reparto de tareas de cada colectivo y en la delegación de funciones, y diferenciación de la formación del personal del servicio de salvamento y extinción de incendios.
• Manual del aeropuerto: corrección de todos los documentos del Manual incluidos en la Diligencia.</t>
  </si>
  <si>
    <t>Certificación y RSO AIRM</t>
  </si>
  <si>
    <t>Subsanación de las deficiencias detectadas por AESA en la Certificación del Aeropuerto Internacional Región de Murcia</t>
  </si>
  <si>
    <t>29.346,99 $</t>
  </si>
  <si>
    <t xml:space="preserve">El alcance del proyecto fue la rectificación de los cambios debido a la serie de no conformidades detectadas por AESA en ciertas partes del Manual de aeropuerto, incluidas en la comunicación a la Sociedad Concesionaria Aeropuerto de Murcia el día 17 de julio de 2014. También, se dio respuesta a ciertas necesidades detectadas en los procedimientos existentes en el Manual del aeropuerto. </t>
  </si>
  <si>
    <t>El alcance de la oferta cubrió la realización de los puntos descritos de acuerdo a la normativa vigente, asegurando la eficacia en la revisión realizada o nueva redacción. Los puntos tratados fueron:
• Revisión y modificación de procedimientos 4.1, 4.3, 4.4, 4.5, 4.6, 4.7, 4.13 y 4.17.
• Revisión y modificación de procedimientos 4.2, 4.8, 4.10, 4.11, 4.12, 4.14, 4.15, 4.16, 4.18, 4.19 y 4.20.
• Asistencia Técnica para el apoyo y asesoramiento en otras tareas necesarias para la Certificación del Aeropuerto.</t>
  </si>
  <si>
    <t>Formación AIRM</t>
  </si>
  <si>
    <t>Asistencia Técnica para el diseño, desarrollo e impartición del Plan de Formación del Aeropuerto Internacional de la Región de Murcia para su certificación y autorización de su puesta en explotación</t>
  </si>
  <si>
    <t>61.383,74 $</t>
  </si>
  <si>
    <t>El proyecto consistió en la realización del apoyo técnico para la elaboración, desarrollo e impartición del Plan de Formación para la certificación del aeropuerto según el RD 862/2009 y su consiguiente puesta en marcha.</t>
  </si>
  <si>
    <t>Los servicios proporcionados incluyeron la elaboración, desarrollo e impartición del Plan a través de las siguientes actividades:
• Diseño del Plan de Formación.
• Desarrollo e impartición de los cursos del Plan de Formación.
Ambas tareas incluyeron el desarrollo de distintos campos: formación general, formación específica para cada puesto de trabajo, formación en factores humanos, formación en seguridad operacional, formación para conductores.</t>
  </si>
  <si>
    <t>Plan Autoprotección AIRM</t>
  </si>
  <si>
    <t>Plan de autoprotección y actualización a Guía de 2012 de AESA para la certificación del Aeropuerto Internacional de la Región de Murcia</t>
  </si>
  <si>
    <t>32.173,07 $</t>
  </si>
  <si>
    <t>El objetivo de la oferta fue realizar el trabajo necesario para que el proceso de certificación se realizara conforme a lo establecido por la Autoridad.</t>
  </si>
  <si>
    <t>El alcance del estudio comprendió la realización de tres fases diferenciadas:
• Subsanación de las deficiencias detectadas por AESA en el Plan de Autoprotección.
• Redacción de procedimientos de menor nivel, elaboración de planos y subsanación de deficiencias. Además, se desarrolló la Fase I del Plan de Implantación del SGSO del Aeropuerto.
• Realización de trabajos adicionales para garantizar la certificación.</t>
  </si>
  <si>
    <t>Formación Castellón</t>
  </si>
  <si>
    <t>Desarrollo de la formación en Seguridad Operacional en el Aeropuerto de Castellón</t>
  </si>
  <si>
    <t>7.427,44 $</t>
  </si>
  <si>
    <t>El objetivo del expediente fue la realización del apoyo técnico para el desarrollo e impartición del Plan de Formación de Seguridad Operacional para la certificación del aeropuerto según el RD 862/2009 y su consiguiente puesta en marcha.</t>
  </si>
  <si>
    <t>El desarrollo e impartición del Plan de Formación de Seguridad Operacional del aeropuerto comprendió el desarrollo de los cursos para el caso de formación inicial, basándose en el documento "Plan de Formación", incluyendo la relación de las acciones formativas necesarias para acceder al puesto, la formación inicial y continua.</t>
  </si>
  <si>
    <t>RSO Castellón</t>
  </si>
  <si>
    <t>Propuesta para el servicio de Responsable de Seguridad Operacional en el Aeropuerto de Castellón</t>
  </si>
  <si>
    <t>Servicios</t>
  </si>
  <si>
    <t>Agosto 2016</t>
  </si>
  <si>
    <t>41.859,87 $</t>
  </si>
  <si>
    <t>El expediente consisitió en el desarrollo del servicio de RSO en el Aeropuerto de Castellón: revisión del sistema de SGSO, realización de auditorías internas y boletinas de Seguridad Operacional, así como formación en Seguridad Operacional.</t>
  </si>
  <si>
    <t>La descripción de servicios incluyó distintas áreas de conocimiento:
• Implantación, seguimiento y actualización del sistema: gestión de riesgos, control de proveedor externos, seguimiento de indicadores, seguimiento de accidentes/incidentes, gestión de la documentación del sistema, gestión de las comunicaciones en materia de seguridad operacional y mantenimiento del Programa de Seguridad.
• Realización de aquellas funciones relacionadas con las auditorías internas del SGSO: auditorías de formación, auditorías de seguridad operacional, supervisiones, comunicaciones, revisiones y auditorías del cumplimiento de las Normas Técnicas, auditorías del Manual del Aeropuerto, presentación de informes finales, definición de acciones correctivas y/o preventivas, elaboración del Informe del Plan de Acciones Correctoras.
• Reemisión del Boletín informativo de Seguridad Operacional.
• Consecución de las tareas relacionadas con la formación en Seguridad Operacional.</t>
  </si>
  <si>
    <t>032</t>
  </si>
  <si>
    <t>PTAR Peru</t>
  </si>
  <si>
    <t>Estudio de Factibilidad del Proyecto "Diseño de Tratamiento de las aguas residuales de Chimbote y su disposición final"</t>
  </si>
  <si>
    <t>Chimbote</t>
  </si>
  <si>
    <t>Febrero 2015</t>
  </si>
  <si>
    <t>112.030,09 $</t>
  </si>
  <si>
    <t>53.041,45 $</t>
  </si>
  <si>
    <t>SEDACHIMBOTE S.A.</t>
  </si>
  <si>
    <t>Sub Dirección de Normatividad - Dirección Técnico Normativa, Organismo Supervisor de las Contrataciones del Estado</t>
  </si>
  <si>
    <t>El principal objetivo fue elaborar el perfil y factibilidad del Proyecto de Recolección y Tratamiento de Aguas residuales y su disposición final mediante el diseño de una PTAR.</t>
  </si>
  <si>
    <t>Con la finalidad de brindar una solución final definitiva a la carencia de un tratamiento y una disposición final de las aguas servidas de origen netamente doméstico de Chimbote Norte, fue necesario desarrollar un sistema de recolección de aguas servidas en el ámbito de influencia del proyecto y el diseño de una Planta de Tratamiento de Aguas Servidas (PTAR). En este sentido, se elaboró el desarrollo de una solución para el tratamiento de las aguas servidas de origen doméstico de Chimbote Norte.</t>
  </si>
  <si>
    <t>Rescisión del contrato por parte de SEDACHIMBOTE 192 días después de la firma del contrato, cuando el plazo contractual era de 60.</t>
  </si>
  <si>
    <t>Oferta hospital Uruguay</t>
  </si>
  <si>
    <t>Oferta de colaboración en la preparación de la propuesta para la elaboración del diseño, proyecto ejecutivo y construcción hospitalaria en Uruguay</t>
  </si>
  <si>
    <t>Uruguay</t>
  </si>
  <si>
    <t>Montevideo</t>
  </si>
  <si>
    <t>Enero 2015</t>
  </si>
  <si>
    <t>10.276,10 $</t>
  </si>
  <si>
    <t>Jesús Arroyo Blanco, Gestor de proyectos internacionales</t>
  </si>
  <si>
    <t>El objeto de la oferta fue satisfacer las necesidades expuestas en el Pliego para el concurso de un "Sanatorio del Banco de Seguros del Estado".</t>
  </si>
  <si>
    <t>Los servicios a desarrollar en la oferta fueron:
• Elaboración de planos del anteproyecto del Hospital de 149 camas en Montevideo.
• Elaboración de imágenes en 3D.
• Redacción de memoria explicativa y sintética.
• Realización de mediciones-</t>
  </si>
  <si>
    <t>035</t>
  </si>
  <si>
    <t>Plataformas Viraje LECO</t>
  </si>
  <si>
    <t>Oferta de colaboración en la preparación del anteproyecto de adecuación de plataformas de viraje en el Aeropuerto de A Coruña</t>
  </si>
  <si>
    <t>3.353,25 $</t>
  </si>
  <si>
    <t>Jaime Mejía, Mail: jmejia@dragados.com</t>
  </si>
  <si>
    <t>El alcance de la oferta fue la definición a nivel de anteproyecto de las plataformas de viraje en ambas cabeceras de la pista 03-21 del Aeropuerto de A Coruña.</t>
  </si>
  <si>
    <t>El expediente incluyó la realización de los siguientes trabajos:
• Definición geométrica según aeronave crítica.
• Estudio de nivelación y definición de pendientes longitudinales y transversales.
• Cálculo del movimiento de tierras.
• Cálculo del paquete de firme.
• Señalización y balizamiento.
• Servicios afectados.
• Estudio de mediciones.
• Presupuesto.</t>
  </si>
  <si>
    <t>Ruido Asuncion Paraguay</t>
  </si>
  <si>
    <t>Actualización del Plan Maestro del Aeropuerto Internacional Silvio Pettirossi</t>
  </si>
  <si>
    <t>3 semanas</t>
  </si>
  <si>
    <t>6.300,00 $</t>
  </si>
  <si>
    <t>Carlos Méndez Guijarro, Field Personnel Administration and Entitlements, Technical Cooperation Bureau, Mail: ALawson@icao.int, Tlf: 514.954.8219.6752</t>
  </si>
  <si>
    <t>El objeto de los trabajos a realizar fue la preparación de los capítulos correspondientes a aspectos de impacto acústico en la Actualización del Plan Maestro del AISP.</t>
  </si>
  <si>
    <t>El experto estuvo implicado en el desarrollo de las siguientes actividades:
• Toma de datos, inventario, diagnóstico, marco legal.
• Capacidad actual.
• Análisis de demanda futura.
• Análisis demanda-capacidad.
• Necesidades futuras (pasajeros, campo de vuelos, navegación aérea, carga, aviación general, FAP, lado tierra, instalaciones apoyo)
• Preparación del Plan Director (corto/medio/largo plazo).
• Interacción con el entorno (servidumbres aeronáuticas, medioambiental y social, huellas de ruido, accesos y vialidad)
• Incorporación a cuerpo legislativo paraguayo.</t>
  </si>
  <si>
    <t>037</t>
  </si>
  <si>
    <t>Drag_Galerías BCN</t>
  </si>
  <si>
    <t>3.299,17 $</t>
  </si>
  <si>
    <t>Jaime Mejía, Avenida Camino de Santiago, 50, 28050 Madrid, Mail: jmejia@dragados.com</t>
  </si>
  <si>
    <t>El alcance de la oferta fue la preparación de la documentación técnica para la presentación por parte de DRAGADOS del expediente BCN 915/14.</t>
  </si>
  <si>
    <t>Los puntos que AIRIA realizó fueron los siguientes:
• Mantenimiento de la operatividad aeroportuaria.
• Seguridad Operacional.</t>
  </si>
  <si>
    <t>Drag_S.VIP MAD</t>
  </si>
  <si>
    <t>Oferta de colaboración en la preparación del concurso de Aena Aeropuertos DIN 381/14 "Remodelación de 5 salas VIP - Aeropuerto de Madrid-Barajas"</t>
  </si>
  <si>
    <t>Oferta de colaboración en la preparación del conucurso de Aena Aeropuertos BCN 915/14 "Adecuación de Galería de Servicios en Terminal T2"</t>
  </si>
  <si>
    <t>12.006,81 $</t>
  </si>
  <si>
    <t>María Bravo Bermejo, Dirección de Estudios y Desarrollo Internacional, Avenida Camino de Santiago 50, 28050 Madrid, Mail: mbravob@dragados.com, Tlf: 91.703.85.69</t>
  </si>
  <si>
    <t>El alcance de la oferta fue la preparación de la documentación técnica para la presentación por parte de DRAGADOS del expediente DIN 381/14.</t>
  </si>
  <si>
    <t>Los puntos realizados por AIRIA fueron:
• Mantenimiento de la operatividad aeroportuaria.
• Estudio de Seguridad Operacional.
• Análisis detallado del proyecto y propuestas de optimización, tanto del Sobre 3 - Documentación Técnica, como del Sobre 4 - Variante económica: Estudio de las mediciones de las unidades del proyecto, Estudio de las nuevas unidades necesarias para ejecutar la obra, Presentación de alternativas al proyecto encaminadas o la mejora de procesos.</t>
  </si>
  <si>
    <t>15</t>
  </si>
  <si>
    <t>PM Cusco</t>
  </si>
  <si>
    <t>Plan Maestro de Desarrollo del Nuevo Aeropuerto Internacional de Chinchero - Cusco</t>
  </si>
  <si>
    <t>Chinchero</t>
  </si>
  <si>
    <t>Abril 2015</t>
  </si>
  <si>
    <t>90.862,38 $</t>
  </si>
  <si>
    <t>PROYECTA &amp; CONSTRUY S.A.</t>
  </si>
  <si>
    <t>Lucas Laino, Jefe de Proyectos - Gerencia Lado Aire, Dirección de Infraestructuras, Mail: Llaino@aa2000.com.ar, Tlf: +54.11.5480.2250</t>
  </si>
  <si>
    <t>El proyecto consisitió en la prestación de una asistencia técnica en la elaboración, desarrollo y redacción del Plan Maestro del Aeropuerto, ejecutado siguiendo los lineamientos establecidos en el documento Propuesta Asistencia Técnica.</t>
  </si>
  <si>
    <t>El alcance del expediente incluyó:
• Inventario de las infraestructuras actuales existentes.
• Estudio del tráfico aéreo actual.
• Revisión de los pronósticos contemplados en estudios anteriores y actualización según la situación actual.
• Análisis de requerimiento de facilidades. Plan de necesidades.
• Planteamiento de alternativas de desarrollo.
• Evaluación de alternativas y selección de la solución óptima.
• Análisis socioeconómico de factores que puedan afectar la viabilidad económica y social del proyecto.
• Plan de configuración del aeropuerto.
• Plan de uso de la tierra.
• Plan de área terminal.
• Planes de acceso aeroportuario.
• Programación y estimación de costes de las instalaciones.
• Factibilidad económica y financiamiento.</t>
  </si>
  <si>
    <t>Drag_Carga LPA</t>
  </si>
  <si>
    <t>Oferta de colaboración en la preparación del concurso de Aena Aeropuertos DIN 441/14 "Renovación Terminal de Carga del Aeropuerto de Gran Canaria"</t>
  </si>
  <si>
    <t>4.191,57 $</t>
  </si>
  <si>
    <t>El alcance de la oferta fue la preparación de la documentación técnica para la presentación por parte de DRAGADOS del expediente DIN 441/14.</t>
  </si>
  <si>
    <t>Los puntos que AIRIA realizó fueron:
• Memoria (Proceso constructivo).
• Programa de Trabajo (Planificación de la obra y Plazo de ejecución).</t>
  </si>
  <si>
    <t>IBERIA Salas VIP MAD</t>
  </si>
  <si>
    <t>Asistencia Técnica para la contratación del diseño, proyecto y obras de reforma de las SALAS VIP de Iberia en la Terminal en el Aeropuerto Adolfo Suárez Madrid-Barajas T4 y T4s</t>
  </si>
  <si>
    <t>Diciembre 2015</t>
  </si>
  <si>
    <t>8.000,00 €/13.500,00 €</t>
  </si>
  <si>
    <t>8.653,56 $/14.602,88 $</t>
  </si>
  <si>
    <t>AOC S.A.</t>
  </si>
  <si>
    <t>Fernando Vázquez, Avenida de Manoteras nº10, Edificio A, Oficina 308, 28050 Madrid, Mail: fernando.vazquez@aocsa.es</t>
  </si>
  <si>
    <t>El alcance fue la realización de los trabajos necesarios como parte del equipo técnico para la presentación de la propuesta en la licitación descrita, y en caso de resultar adjudicatarios, los derivados de la redacción del proyecto y ejecución de las obras.</t>
  </si>
  <si>
    <t>Los trabajos consistieron en la preparación de los documentos necesarios para la fase de concurso, que incluyeron:
• Presentación PDF de los diseños.
• Planos de plantas de distribución a escala.
• Memoria descriptiva y constructiva (estudios de operatividad y Seguridad Operacional).
• Costes de diseño, proyecto, dirección de obra y ejecución.
• Cronograma de obra de cada fase por sala.
En caso de resultar adjudicataria, AIRIA asumía la Redacción del Proyecto Constructivo y la Dirección Facultativa de la Obra.</t>
  </si>
  <si>
    <t xml:space="preserve">El concurso era para febrero de 2015 pero se postergó a diciembre de 2015, existiendo dos ofertas distintas. </t>
  </si>
  <si>
    <t>Legalización drones RPA</t>
  </si>
  <si>
    <t>Legalización de RPA según los requerimientos de AESA</t>
  </si>
  <si>
    <t>Octubre 2015</t>
  </si>
  <si>
    <t>2.271,56 $</t>
  </si>
  <si>
    <t>Visión H Málaga Innovaciones Tecnológicas S.L.</t>
  </si>
  <si>
    <t>Cayetano Porras Ballesteros, Arquitecto, C/ Maestranza nº21 pl. 2º oficina 1, 29016 Málaga, Mail: visionh.mit@gmail.com, Tlf: 952.22.59.60</t>
  </si>
  <si>
    <t>El objetivo del trabajo fue la prestación de los servicios necesarios para legalizar y tramitar y presentar la documentación necesaria de los RPA de Visión H a la Agencia Estatal de Seguridad Aérea, para obtener la correspondiente certificación.</t>
  </si>
  <si>
    <t>Los servicios realizados incluyeron:
• Disponer de la documentación sobre la caracterización de la aeronave (configuración, características y prestaciones).
• Contar con un Manual de Operaciones con los procedimientos de la operación.
• Realización de un estudio aeronáutico de seguridad de la operación.
• Establecimiento de un programa de mantenimiento de la aeronave conforme a las recomendaciones del fabricante.
• Disposición de un seguro conforme a la normativa vigente.
• Adopción de medidas para que la aeronave no sufra actos de interferencia ilícita durante las operaciones.
• Desarrollo de los apéndices necesarios a presentar por parte de la empresa.</t>
  </si>
  <si>
    <t>En el mes de novimebre, se remitió a AESA la documentación para la certificación de la aeronave S900 de DJI, adquirida por Visión H Innovaciones Tecnológicas S.L.</t>
  </si>
  <si>
    <t>Helipuerto La Paz</t>
  </si>
  <si>
    <t>Estudio de viabilidad para la construcción de un helipuerto en el Hospital Universitario de la Paz</t>
  </si>
  <si>
    <t>Julio 2015</t>
  </si>
  <si>
    <t>10.692,56 $</t>
  </si>
  <si>
    <t>Comunidad de Madrid</t>
  </si>
  <si>
    <t>Juan Cruz Franco, Jefe de Área de Instalaciones Aeronáuticas, Dirección General de Transportes, Consejería de Transportes, Infraestructuras y Vivienda, Mail: juan.cruz.franco@madrid.org, Tlf: 91.580.15.21</t>
  </si>
  <si>
    <t xml:space="preserve">El alcance del expediente fue la realización de los trabajos de ingeniería necesarios para la realización de un estudio de viabilidad para el helipuerto del Hospital Universitario de la Paz, con el fin de elegir el emplazamiento y la configuración más adecuados para el mismo.  </t>
  </si>
  <si>
    <t>El servicio incluyó, principalmente, el desarrollo del Estudio de viabilidad, formado por los siguientes apartados:
• Estado actual de las alternativas objeto de estudio.
• Criterios e hipótesis de diseño.
• Características físicas de la instalación.
• Trayectorias de aproximación y ascenso en el despegue.
• Compatibilidad de espacio aéreo.
• Análisis de alternativas.
• Uso nocturno del helipuerto.
• Estudio comparativo de alternativas.
• Anexo (Planos, Estudio de obstáculos)</t>
  </si>
  <si>
    <t>En el trabajo, se contrató a TOPOGRAFÍA Y OBRAS, S.A. para que llevara a cabo las tareas de Estudio de Obstáculos de las superficies APCH y TKOF y levantamiento topográfico de las dos ubicaciones para el futuro helipuerto del Hospital de la Paz</t>
  </si>
  <si>
    <t>Aeródromo FAASA</t>
  </si>
  <si>
    <t>Consultoría para la legalización del aeródromo Sebastián Almagro</t>
  </si>
  <si>
    <t>Palma del Río</t>
  </si>
  <si>
    <t>Mayo 2015</t>
  </si>
  <si>
    <t>Noviembre 2017</t>
  </si>
  <si>
    <t>34.614,24 $</t>
  </si>
  <si>
    <t>FAASA S.A.</t>
  </si>
  <si>
    <t>El alcance de la asistencia técnica se circunscribió a la definición del alcance de las actuaciones a realizar y posteriormente al diseño de dichas actuaciones con el fin de solucionar las discrepancias abiertas por AESA.</t>
  </si>
  <si>
    <t>Los servicios desarrollados fueron:
• Estudio detallado de la situación actual.
• Levantamiento topográfico del aeródromo.
• Planteamiento de soluciones a las No conformidades y modificación de Autorización.
• Nueva solicitud como aeródromo de uso restringido.
Para la consecución de los distintos hitos, se presentó distinta documentación: Estudio de compatibilidad del espacio aéreo, evaluación medioambiental, documentación administrativa y estudio técnico del aeródromo, asistencia y apoyo en la tramitación.</t>
  </si>
  <si>
    <t>Drag_Cubierta ET BIO</t>
  </si>
  <si>
    <t>Oferta de colaboración en la preparación del concurso de Aena Aeropuertos DIN 180/15 "Adecuación de la cubierta del edificio terminal-Fase II. Aeropuerto de Bilbao"</t>
  </si>
  <si>
    <t>Junio 2015</t>
  </si>
  <si>
    <t>6.127,80 $</t>
  </si>
  <si>
    <t>El alcance de la oferta fue la preparación de la documentación técnica para la presentación por parte de DRAGADOS del expediente DIN 180/15.</t>
  </si>
  <si>
    <t>Los puntos realizados por AIRIA fueron:
• Memoria (mantenimiento de la operatividad aeroportuaria y Seguridad Operacional).
• Conocimiento del proyecto/variantes (Estudio de las mediciones de las unidades de proyectos, estudio de las nuevas unidades necesarias para ejecutar la obra, presentación de alternativas al proyecto encaminadas a la mejora de procesos)</t>
  </si>
  <si>
    <t>Alquiler vehiculos MAD</t>
  </si>
  <si>
    <t>Asesoramiento y apoyo técnico para la puesta en marcha del servicio de alquiler de vehículos con conductor en el Aeropuerto Adolfo Suárez Madrid-Barajas</t>
  </si>
  <si>
    <t>4.326,78 $</t>
  </si>
  <si>
    <t>CABIFY</t>
  </si>
  <si>
    <t>Juan de la Torre, Director Marketing y Ventas, Calle Marqués de Lema, 7, Madrid, Mail: jdelatorre@cabify.com</t>
  </si>
  <si>
    <t>El expediente incluyó la prestación de los servicios requeridos para el asesoramiento y apoyo técnico para la puesta en marcha del servicio de alquiler de vehículos con conductor en el Aeropuerto de Madrid-Barajas.</t>
  </si>
  <si>
    <t>Se llevaron a cabo las siguientes tareas:
• Fase de licitación. Asesoramiento en la preparación de la documentación técnica y económica de la licitación (revisión de la documentación y adecuación a requisitos y normativa de AENA, apoyo en la elaboración de la documentación técnica y económica, desarrollo de apartados técnicos específicos y tratamiento de datos de apoyo, asistencia en diseño de imagen corporativa de los locales y puntos de vista).
• Fase de puesta en marcha. Asistencia técnica en los trabajos de ingeniería y supervisión para la puesta en marcha del negocio tras la adjudicación.</t>
  </si>
  <si>
    <t>Tamale</t>
  </si>
  <si>
    <t>Ghana</t>
  </si>
  <si>
    <t>Septiembre 2016</t>
  </si>
  <si>
    <t>Drag_Plata Dique sur T1 BCN</t>
  </si>
  <si>
    <t>Oferta de colaboración en la preparación del concurso de Aena Aeropuertos DIN 420/15 "Remodelación de la plataforma del Dique Sur de T1. Aeropuerto de Barcelona-El Prat"</t>
  </si>
  <si>
    <t>7.272,81 $</t>
  </si>
  <si>
    <t>El alcance del proyecto fue la preparación de la documentación técnica para la presentación por parte de DRAGADOS del expediente DIN 420/15.</t>
  </si>
  <si>
    <t>Los apartados que AIRIA realizó fueron:
• Memoria (Mantenimiento de la operatividad aeroportuaria, Seguridad Operacional)
• Conocimiento del proyecto/variantes (Estudio de las mediciones de las unidades del proyecto, Estudio de las nuevas unidades necesarias para ejecutar la obra, Presentación de alternativas al proyecto encaminadas a la mejora de procesos)</t>
  </si>
  <si>
    <t>5.048,567,62 €</t>
  </si>
  <si>
    <t>AVSEC RIAD</t>
  </si>
  <si>
    <t>Asistencia Técnica para garantizar la seguridad aérea en la ampliación del Aeropuerto Internacional King Khaled</t>
  </si>
  <si>
    <t>Arabia Saudí</t>
  </si>
  <si>
    <t>Riyadh</t>
  </si>
  <si>
    <t>Enero 2016</t>
  </si>
  <si>
    <t>13.025,43 $</t>
  </si>
  <si>
    <t>Oscar Martín Martínez, Telecommunications Engineer/Deputy Head of ICT and Security Systems Manager at KKIA Development and Expansion Project, Mail: omartin@louisberger.com, Tlf: 942.290.260</t>
  </si>
  <si>
    <t>El alcance de la oferta fue la Asistencia Técnica para garantizar la seguridad aérea en la ampliación del Aeropuerto Internacional King Khalid.</t>
  </si>
  <si>
    <t>Para la realización de los trabajos, AIRIA realizó las siguientes tareas:
• Análisis de documentación de normativa de seguridad saudí.
• Análisis de proyecto.
• Definición conceptual de la Seguridad, teniendo en cuenta la operatividad y facilitación aeroportuaria.
• Definición de elementos de seguridad.
• Estimación de costes.</t>
  </si>
  <si>
    <t>El contrato ponía que la duración total era de 14 meses, pero no hay constancia de ello.</t>
  </si>
  <si>
    <t>PD Suroeste</t>
  </si>
  <si>
    <t>Servicio de Modificación y Actualización del Plan Director del Aeródromo del Suroeste y su Documentación Asociada</t>
  </si>
  <si>
    <t>El Álamo</t>
  </si>
  <si>
    <t>Febrero 2016</t>
  </si>
  <si>
    <t>Junio 2016</t>
  </si>
  <si>
    <t>58.185,17 $</t>
  </si>
  <si>
    <t>El alcance de la oferta fue la modificación y actualización del Plan Director del Aeródromo del Suroeste, así como la documentación ambiental asociada.</t>
  </si>
  <si>
    <t>Los trabajos realizados por AIRIA fueron:
• Actualización del Plan Director del Aeropuerto del Suroeste para aviación ejecutiva y general con capacidad para aeronaves clave D OACI y un volumen de servicio de 49.926 operaciones.
• La elaboración de la documentación ambiental para la tramitación del Informe de Sostenibilidad Ambiental.
• La elaboración del Plan Económico-Financiero para la estructuración de una Participación Público Privada (PPP).</t>
  </si>
  <si>
    <t>Drag_SEI IBZ</t>
  </si>
  <si>
    <t>Oferta de colaboración en la preparación del concurso de Aena Aeropuertos DIN 511/15 "Nuevo Edificio SEI y Servicios Anexos. Aeropuerto de Ibiza"</t>
  </si>
  <si>
    <t>Noviembre 2015</t>
  </si>
  <si>
    <t>9.646,04 $</t>
  </si>
  <si>
    <t>Jaime Mejía Cadena, Dirección de Estudios y Desarrollo Internacional, Avenida Camino de Santiago 50, 28050 Madrid, Mail: jmejia@dragados.com</t>
  </si>
  <si>
    <t>El alcance de la oferta fue la preparación de la documentación técnica para la presentación por parte de DRAGADOS del expediente DIN 511/15.</t>
  </si>
  <si>
    <t>Los apartados realizados por AIRIA fueron:
• Memoria (Proceso constructivo, Mantenimiento de la operatividad aeroportuaria, Seguridad Operacional, Materiales/subcontratación), Programa de Trabajo (Planificación de la obra, Plazo de ejecución), Conocimiento del proyecto/variantes (Estudio de las mediciones de las unidades de proyectos, Estudio de las nuevas unidades necesarias para ejecutar la obra, Presentación de alternativas al proyecto encaminadas a la mejora de procesos)</t>
  </si>
  <si>
    <t>Drag_Hospital Lugo</t>
  </si>
  <si>
    <t>Oferta de colaboración en la preparación de una justificación sobre la ubicación definitiva de un helipuerto de emergencias sanitarias aéreas en la oferta "Redacción de Proyecto y Ejecución de las Obras de Reforma y Ampliación del Hospital da Costa de Burela (Lugo)"</t>
  </si>
  <si>
    <t>Burela</t>
  </si>
  <si>
    <t>3.007,55 $</t>
  </si>
  <si>
    <t>El alcance de la oferta fue la preparación de la documentación técnica asociada al concurso para el análisis y justificación de la solución adoptada propuesta para la ubicación de un helipuerto de operaciones de emergencias sanitarias del Hospital de Burela (Lugo).</t>
  </si>
  <si>
    <t>El análisis conllevó la realización de las siguientes tareas:
• Revisión del manual de la aeronave de diseño y definición de las limitaciones operacionales.
• Definición de trayectorias de aproximación y ascenso en el despegue.
• Análisis de los obstáculos situados bajo estas trayectorias y zonas libres de obstáculos requeridas por la aeronave de diseño.
• Análisis de los efectos de la corriente descendente del rotor.</t>
  </si>
  <si>
    <t>Tiempos Conexión MAD</t>
  </si>
  <si>
    <t>Asistencia Técnica para la Determinación de los Tiempos de Conexión en el Aeropuerto Adolfo Suárez Madrid-Barajas</t>
  </si>
  <si>
    <t>Julio 2016</t>
  </si>
  <si>
    <t>53.583,63 $</t>
  </si>
  <si>
    <t>Miguel Ángel López Díaz, Departamento de Contratación y Asuntos Generales, Avenida de la Hispanidad s/n, Terminal T2 - 4ª Planta, Mail: maldiaz@e-externas.aena.es, Tlf: 913.243.218</t>
  </si>
  <si>
    <t>El objeto de la asistencia fue realizar una evaluación de los tiempos de los viajeros a la hora de realizar conexiones entre dos vuelos programados o para los casos en los que los pasajeros dispusieran de dos billetes no conexionadas entre sí en el Aeropuerto Adolfo Sua´rez Madrid-Barajas.</t>
  </si>
  <si>
    <t>Los principales servicios que se aportaron fueron:
• Tratamiento y análisis de datos y elaboración de informes.
• Trabajo de campo y recolección de datos.
Los informes/documentos que se desarrollaron incluyeron un Informe de Flujos referente a salidas, llegadas y transferencias, un Estudio de Tiempos de Conexión, así como aquellos anexos necesarios para la consecución de las tareas.</t>
  </si>
  <si>
    <t>Drag_Conservacion MAD</t>
  </si>
  <si>
    <t>Oferta de colaboración en la preparación del concurso de Aena Aeropuertos MAD 593/15 "Programación y ejecución de actividades de conservación integral en el Área de Movimientos y Accesos. Aeropuerto Adolfo Suárez Madrid-Barajas"</t>
  </si>
  <si>
    <t>5.391,72 $</t>
  </si>
  <si>
    <t>El objeto de la oferta fue la preparación de la documentación técnica para la presentación por parte de DRAGADOS del expediente MAD 593/15.</t>
  </si>
  <si>
    <t>Los apartados que AIRIA desarrolló fueron:
• Calidad de servicio ofertado (Mejoras al Pliego).
• Plan de Vigilancia de Seguridad Operacional (Estudio de las afecciones operacionales, Definición de Indicadores de Seguridad Operacional, Gestión de Riesgos. Metodología, identificación de peligros y evaluación de riesgos, Medidas de prevención y protección que procedan).</t>
  </si>
  <si>
    <t>Según correo de 15/12, al final DRAGADOS no se presentó a la oferta, con lo que no se realizó la totalidad de los trabajos acordados.</t>
  </si>
  <si>
    <t>16</t>
  </si>
  <si>
    <t>Certificación AGP</t>
  </si>
  <si>
    <t>Asistencia Técnica para el Proceso de Conversión del Certificado de Aeropuerto al Reglamento (UE) Nº 139/2014 y Sistema de Gestión de Seguridad Operacional</t>
  </si>
  <si>
    <t>Enero 2017</t>
  </si>
  <si>
    <t>196.830,90 $</t>
  </si>
  <si>
    <t>Ignacio Pérez González, Asistencia Técnica Apoyo a Seguridad Operacional, Aeropuerto Málaga-Costa del Sol, Mail: pegonzalez@e-externas.aena.es, Tlf: 673.339.443</t>
  </si>
  <si>
    <t>El expediente tuve como finalidad la mejora y el mantenimiento documental del Sistema de Gestión Seguridad Operacional y la actualización del Manual del SGSO de acuerdo al Reglamento 139/2014 de la UE para su certificación por AESA.</t>
  </si>
  <si>
    <t>El alcance de la asistencia incluyó los siguientes trabajos:
• Conversión del Certificado de aeropuerto otorgado por AESA según el RD 862/2009 al Reglamento UE nº139/2014 de EASA.
• Colaboración con el Departamento de Seguridad Operacional para el estudio, elaboración, implementación, supervisión, control y seguimiento del Sistema de Gestión de la Seguridad Operacional del Aeropuerto.
• Colaboración con las Divisiones de Ingeniería y Mantenimiento y Operaciones y Seguridad para la redacción, modificación y/o actualización de procedimientos de mayor y menor nivel asociados al Manual de Aeródromo.
• Simulación del movimiento de aeronaves mediante el software PathPlanner Airside en las plataformas de estacionamiento de aeronaves del Aeropuerto de Málaga - Costa del Sol.</t>
  </si>
  <si>
    <t>Drag_Bancadas PMI</t>
  </si>
  <si>
    <t>Oferta de colaboración en la preparación del concurso de Aena Aeropuertos DIN 648/15 "Suministro de nuevas bancadas para pasajeros en EETT y módulos. Aeropuerto Palma de Mallorca"</t>
  </si>
  <si>
    <t>2.077,66 $</t>
  </si>
  <si>
    <t>Celina Valera, Dirección de Estudios y Desarrollo Internacional, Avenida Camino de Santiago 50, 28050 Madrid, Mail: cvalera@dragados.com</t>
  </si>
  <si>
    <t>El alcance de la oferta fue la preparación de la documentación técnica para la presentación por parte de DRAGADOS del expediente DIN 648/15.</t>
  </si>
  <si>
    <t>Las tareas realizadas por AIRIA fueron:
• Identificación de las posibles afecciones a la operatividad del aeropuerto, así como las medidas a tomar para reducir esa interferencia.</t>
  </si>
  <si>
    <t>SIMMOD Dublin</t>
  </si>
  <si>
    <t>Simulación del espacio aéreo y área de movimiento del Aeropuerto de Dublín</t>
  </si>
  <si>
    <t>Irlanda</t>
  </si>
  <si>
    <t>Dublín</t>
  </si>
  <si>
    <t>Abril 2016</t>
  </si>
  <si>
    <t>Noviembre 2016</t>
  </si>
  <si>
    <t>49.071,04 $</t>
  </si>
  <si>
    <t>IDOM</t>
  </si>
  <si>
    <t>Javier Losada, Director Aeropuertos y Aviación, Avenida Monasterio de El Escorial, 4, 28049 Madrid, Mail: jlv@idom.com, Tlf: 91.444.11.50</t>
  </si>
  <si>
    <t>El estudio analizó el campo de vuelo y espacio aéreo del aeropuerto según diferentes escenarios respecto a la plataforma de estacionamiento, el sistema de calles de rodaje, pista de vuelo y espacio aéreo.</t>
  </si>
  <si>
    <t xml:space="preserve">Las tareas realizadas por AIRIA fueron:
• Recopilación de información.
• Definición de espacio aéreo.
• Modelización de campo de vuelo y espacio aéreo.
• Simulación de diferentes escenarios.
• Redacción de informes.
</t>
  </si>
  <si>
    <t>Drag_plataforma TFS</t>
  </si>
  <si>
    <t>Oferta de colaboración en la preparación del concurso de Aena Aeropuertos DIN 30/16 "Adecuación general de plataforma. Aeropuerto de Tenerife Sur"</t>
  </si>
  <si>
    <t>Granadilla de Abona</t>
  </si>
  <si>
    <t>Marzo 2016</t>
  </si>
  <si>
    <t>18.217,79 $</t>
  </si>
  <si>
    <t>El alcance de la oferta fue la preparación de la documentación técnica para su presentación por parte de DRAGADOS relativo al expediente DIN 30/16.</t>
  </si>
  <si>
    <t>Las tareas realizadas por AIRIA fueron:
• Memoria (Mantenimiento de la operatividad aeroportuaria, Seguridad Operacional).
• Conocimiento del proyecto/variantes (Estudio de las mediciones de las unidades del proyecto, Estudio de las nuevas unidades necesarias para ejecutar la obra, Presentación de alternativas al proyecto encaminadas a la mejora de procesos)</t>
  </si>
  <si>
    <t>Drag_pista PMI</t>
  </si>
  <si>
    <t>Oferta de colaboración en la preparación del concurso de Aena Aeropuertos DIN 33/16 "Regeneración del pavimento de la pista sur. Aeropuerto de Palma de Mallorca"</t>
  </si>
  <si>
    <t>6.779,73 $</t>
  </si>
  <si>
    <t>Las tareas realizadas por AIRIA fueron:
• Memoria (Mantenimiento de la operatividad aeroportuaria, Seguridad Operacional).
• Conocimiento del proyecto/variantes (Estudio de las mediciones de las unidades del proyecto, Estudio de las nuevas unidades necesa</t>
  </si>
  <si>
    <t>Drag_Puertas H PMI</t>
  </si>
  <si>
    <t>Oferta de colaboración en la preparación del concurso de Aena Aeropuertos DIN 34/16 "Adecuación Puertas H-6, H-7 y H-8. Aeropuerto de Palma de Mallorca"</t>
  </si>
  <si>
    <t>5.631,55 $</t>
  </si>
  <si>
    <t>El alcance de la oferta fue la preparación de la documentación técnica por parte de DRAGADOS para la presentación del expediente DIN 33/16.</t>
  </si>
  <si>
    <t>El alcance de la oferta fue la preparación de la documentación técnica por parte de DRAGADOS para la presentación del expediente DIN 34/16.</t>
  </si>
  <si>
    <t>Certificación VLC</t>
  </si>
  <si>
    <t>Actualización del SGSO, Desarrollo de Procedimientos de Gestión del Cambio y Reconversión del Certificado de Aeropuerto al RE 139/2014</t>
  </si>
  <si>
    <t>Manises</t>
  </si>
  <si>
    <t>180.653,13 $</t>
  </si>
  <si>
    <t>Adrián Albert Meliá, Técnico de Planificación y Gestión Estratégica, Ctra. Aeropuerto s/n, 46940 Manises, Mail: aalbert@aena.es, Tlf: 961.598.485</t>
  </si>
  <si>
    <t>El objeto del contrato fue la actualización del SGSO, el desarrollo de procedimientos de gestión de cambios y la reconversión del certificado del Aeropuerto al RE 139/2014.</t>
  </si>
  <si>
    <t>Septiembre 2017</t>
  </si>
  <si>
    <t>Las tareas realizas por AIRIA fueron:
• Entrega de la documentación asociada a la conversión del Certificado al Reglamento UE 139/2014.
• Formación de Seguridad Operacional.
• Desarrollo de reuniones para analizar las necesidades y el avance de la documentación asociada al SGSO y a la actualización del Manual del Aeropuerto.</t>
  </si>
  <si>
    <t>Prognosis Asunción Paraguay</t>
  </si>
  <si>
    <t>Estudios de planificación para la concesión del Aeropuerto Internacional de Asunción, Paraguay</t>
  </si>
  <si>
    <t>19.338,13 $</t>
  </si>
  <si>
    <t>Consorcio SACYR-AGUNSA</t>
  </si>
  <si>
    <t>Daniel Aparicio García, Project Manager, Dirección de Desarrollo de Negocio, SACYR, Paseo de la Castellana 83-85, 7ª Planta, Mail: daparicio@sacyr.com, Tlf: 91.545.50.66</t>
  </si>
  <si>
    <t>El alcance del proyecto incluyó una previsión del tráfico aéreo, el desarrollo de un modelo econométrico, un análisis de mercado y una determinación de la demanda de tráfico aéreo.</t>
  </si>
  <si>
    <r>
      <t xml:space="preserve">Los servicios realizados incluyeron:
• </t>
    </r>
    <r>
      <rPr>
        <u/>
        <sz val="11"/>
        <color theme="1"/>
        <rFont val="Swis721 Lt BT"/>
        <family val="2"/>
      </rPr>
      <t>Previsión de tráfico aéreo</t>
    </r>
    <r>
      <rPr>
        <sz val="11"/>
        <color theme="1"/>
        <rFont val="Swis721 Lt BT"/>
        <family val="2"/>
      </rPr>
      <t xml:space="preserve">: análisis del mercado de transporte aéreo en la región, análisis del histórico de tráfico y determinación de los parámetros singulares, análisis del mapa de destinos y frecuencias, prognosis de la demanda basada en modelos econométricos, revisión de la evolución, pujanza y potencialidad de los mercados servidos desde Asunción.
• </t>
    </r>
    <r>
      <rPr>
        <u/>
        <sz val="11"/>
        <color theme="1"/>
        <rFont val="Swis721 Lt BT"/>
        <family val="2"/>
      </rPr>
      <t>Modelo econométrico</t>
    </r>
    <r>
      <rPr>
        <sz val="11"/>
        <color theme="1"/>
        <rFont val="Swis721 Lt BT"/>
        <family val="2"/>
      </rPr>
      <t xml:space="preserve">: prognosis de tráfico basada en distintos tipos de pasajeros comerciales y de otras clases de tráfico, aeronaves comerciales nacionales/internacionales y de otros tipos de tráfico, flota de diseño, mercancías, PHP, PDP, PDT, AHP, AHD, ADP, ADT.
• </t>
    </r>
    <r>
      <rPr>
        <u/>
        <sz val="11"/>
        <color theme="1"/>
        <rFont val="Swis721 Lt BT"/>
        <family val="2"/>
      </rPr>
      <t>Análisis del mercado</t>
    </r>
    <r>
      <rPr>
        <sz val="11"/>
        <color theme="1"/>
        <rFont val="Swis721 Lt BT"/>
        <family val="2"/>
      </rPr>
      <t xml:space="preserve">: estudio de los mercados servidos desde el aeropuerto, evolución y perspectivas de desarollo mediante la proyección de tendencias a futuro a través de datos socioeconómicos.
• </t>
    </r>
    <r>
      <rPr>
        <u/>
        <sz val="11"/>
        <color theme="1"/>
        <rFont val="Swis721 Lt BT"/>
        <family val="2"/>
      </rPr>
      <t>Determinación de la demanda de tráfico aéreo</t>
    </r>
    <r>
      <rPr>
        <sz val="11"/>
        <color theme="1"/>
        <rFont val="Swis721 Lt BT"/>
        <family val="2"/>
      </rPr>
      <t>: diseño de tres escenarios de demanda de pasajeros, carga y operaciones.</t>
    </r>
  </si>
  <si>
    <t>Certificación TFN</t>
  </si>
  <si>
    <t>Asistencia Técnica para la Prestación de Servicio en el Proceso de Certificación y Mantenimiento de la Documentación Asociada</t>
  </si>
  <si>
    <t>Abril 2018</t>
  </si>
  <si>
    <t>162.132,23 $</t>
  </si>
  <si>
    <t>AENA, S.A.</t>
  </si>
  <si>
    <t>Departamento de Gabinete de Dirección, Los Rodeos s/n, 38297 San Cristóbal de La Laguna, Tenerife</t>
  </si>
  <si>
    <t>El propósito del contrato fue la recopilación, clasificación actividades de campo y actualizaciones necesarias para la edición de la documentación técnica, la cumplimentación del listado de verificación de Normas Técnicas, la ordenación de documentación a adjuntar y el mantenimiento del Manual de Aeródromo.</t>
  </si>
  <si>
    <t xml:space="preserve">Los servicios prestados fueron:
• Recopilación de información, toma de datos de campo y análisis de la documentación.
• Realización de las gestiones de cambio asociadas a modificaciones en las infraestructuras, instalaciones y procedimientos.
• Realización de las gestiones de riesgos asociadas a los cambios.
• Revisión, mantenimiento y actualización de los procedimientos del Manual de Aeródromo.
• Actualización del dictamen técnico de cumplimiento de las normas técnicas.
• Actualización de la información de obstáculos.
• Actualización de la información gráfica, planos.
• Seguimiento y elaboración de la documentación técnica necesaria para AESA.
• Análisis de incidentes, recopilación de información y envío. Seguimiento de las medidas mitigadoras.
• Asesoramiento en el seguimiento de actuaciones relacionadas con la certificación de aeródromo.
• Asesoramiento para garantizar el cumplimiento en SGSO en todos los expedientes de obra, suministro y servicios. Seguimiento de la documentación entregada por parte de lo proveedores. </t>
  </si>
  <si>
    <t>Acta de Finalización</t>
  </si>
  <si>
    <t>Drag_Pista BCN</t>
  </si>
  <si>
    <t>Oferta de colaboración en la preparación del concurso de Aena Aeropuertos DIN 102/16 "Regeneración Pavimento Pista 07L-25R. Aeropuerto de Barcelona-El Prat"</t>
  </si>
  <si>
    <t>2.485,55 $</t>
  </si>
  <si>
    <t>El alcance de la oferta fue la presentación de la documentación necesaria relativa al expediente DIN 102/2016.</t>
  </si>
  <si>
    <t>Los servicios a realizar incluyeron:
• Redacción de los siguientes apartados relativos a la Memoria: Mantenimiento de la operatividad aeroportuaria y Seguridad Operacional.</t>
  </si>
  <si>
    <t>Seguridad S. Familia</t>
  </si>
  <si>
    <t>Servicio Técnico de Control, Calidad y Mejora de Niveles de Seguridad de la Basílica de la Sagrada Familia</t>
  </si>
  <si>
    <t>6.642,70 $</t>
  </si>
  <si>
    <t>Junta Constructora del Temple Expiatori de la Sagrada Família</t>
  </si>
  <si>
    <t>Xavi Edo, Responsable de Seguretat, Seguretat i Operacions, Carrer Mallorca, 401, 08013 Barcelona, Mail: xedo@sagradafamilia.org, Tlf: 93.207.30.31</t>
  </si>
  <si>
    <t>El objetivo del servicio fue la realización de una amplia investigación y seguimiento de los niveles de calidad de la seguridad en la Basílica de la Sagrada Familia.</t>
  </si>
  <si>
    <t xml:space="preserve">La lista de trabajos realizados fue:
• Ejecución de ensayos.
• Cálculo de indicadores de calidad.
• Propuesta de medidas correctoras.
• Generación de informes mensuales.
• Generación de otros documentos e informes.
• Diseño del servicio a prestar.
• Planificación y seguimiento de las actividades.
• Gestión de la documentación elaborada.
</t>
  </si>
  <si>
    <t>Calidad PMR ALC</t>
  </si>
  <si>
    <t>Asistencia Técnica para la Supervisión del Servicio de Asistencia a Personas de Movilidad Reducida</t>
  </si>
  <si>
    <t>Elche</t>
  </si>
  <si>
    <t>Mayo 2017</t>
  </si>
  <si>
    <t>43.535,93 $</t>
  </si>
  <si>
    <t>Los objetivos del contrato fueron el seguimiento de los niveles de calidad del servicio, el seguimiento de los incumplimientos de cada agente, propuesta de medidas y seguimiento de la implantación de las medidas aplicadas y los controles, inspecciones o estudios relacionados con el objeto del servicio.</t>
  </si>
  <si>
    <t>Los servicios realizados fueron:
• Análisis de la información y planificación de toma de datos: análisis exhaustivo de la configuración del Aeropuerto de Alicante.
• Toma de datos y supervisiones de las asistencias a PMR.
• Análisis de los datos y redacción de informes de cada una de las supervisiones.
• Seguimiento de las Imputaciones de alos Códigos 19 y 4.
• Supervisión de equipos e instalaciones a disposición del servicio de atención a PMR.
• Análisis de la información proporcionada por la Asistencia Técnica del Servicio de Atención a PMR.
• Seguimiento de los incumplimientos de la empresa del servicio de atención a PMR y de implantación de medidas.
• Gestión de incidencias: apoyo en la resolución de incidencias producidas en el servicio de atención a PMR.</t>
  </si>
  <si>
    <t>PM Uyuni</t>
  </si>
  <si>
    <t>Estudio de Diseño Técnico de Preinversión del Aeropuerto "La Joya Andina" de la Ciudad de Uyuni - Potosí</t>
  </si>
  <si>
    <t>Bolivia</t>
  </si>
  <si>
    <t>Potosí</t>
  </si>
  <si>
    <t>Marzo 2017</t>
  </si>
  <si>
    <t>403.423,20 $</t>
  </si>
  <si>
    <t>2.767.483,15 Bs</t>
  </si>
  <si>
    <t>119.747,80 $</t>
  </si>
  <si>
    <t>Ministerio de Obras Públicas Servicios y Vivienda</t>
  </si>
  <si>
    <t>Roxana Paredes, Obras Públicas, Gobierno de Bolivia, Mail: roxana.paredes@oopp.gob.bo</t>
  </si>
  <si>
    <t>El alcance del servicio fue el desarrollo del Plan Maestro de Desarrollo del Aeropuerto "La Joya Andina" de Uyuni - Potosí así como el correspondiente análisis ambiental y social.</t>
  </si>
  <si>
    <t>Los servicios realizados fueron:
• Desarrollo de Plan Maestro: estudios, análisis y estadística necesaria para la determinación de áreas, etapas y costos de desarrollo para el aeropuerto. Memoria descriptiva, memoria de cálculo y planos.
• Estudio de Diseño Técnico de Pre Inversión. Análisis y diseño a detalle para el mejoramiento y ampliación general del aeropuerto. El mejoramiento incluyó: terminal de pasajeros, torre de control, SEI, iluminación exterior, pavimentación márgenes de pista, nivelación de franjas y RESA, ampliación plataforma comercial, estudio de evaluación de impacto ambiental, estudio de mercado, evaluación económica, costes de inversión, organización e implementación de proyecto.</t>
  </si>
  <si>
    <t>Aeródromo Las Pachecas</t>
  </si>
  <si>
    <t>Consultoría para la Redacción de Proyectos y Legalización del Aeródromo de Las Pachecas</t>
  </si>
  <si>
    <t>Argamasilla de Alba</t>
  </si>
  <si>
    <t>41.294,61 $</t>
  </si>
  <si>
    <t>Altran Innovacion, S.L.</t>
  </si>
  <si>
    <t>Juan Manuel Valcárcel Rosado, Tooling and Automation Director, Altran Spain, Calle Campezo, 1, Industrial Facilities Las Mercedes, 28022 Madrid, Mail: juan.valcarcel@altran.com, Tlf: 91.111.24.69</t>
  </si>
  <si>
    <t>El alcance del proyecto fue la autorización como aeródromo de uso restringido, la asistencia y apoyo en la tramitación, el proyecto de ejecución, el levantamiento topográfico y la coordinación de obras.</t>
  </si>
  <si>
    <t>Los servicios a realizar fueron:
• Redacción y consecución de documentación administrativa y Estudio Técnico del Aeródromo.
• Tareas relacionadas con la Asistencia y apoyo en la tramitación.
• Desarrollo de Memoria y Anejos, Planos, Pliego de Prescripciones Técnicas y Presupuesto.
• Realización del levantamiento topográfico.
• Tareas relativas a la coordinación de obras.</t>
  </si>
  <si>
    <t>Pintura y caucho SDR</t>
  </si>
  <si>
    <t>Maliaño</t>
  </si>
  <si>
    <t>18.444,15 $</t>
  </si>
  <si>
    <t>"Renovación Señalización Horizontal en el Aeropuerto Seve Ballesteros-Santander" y "Eliminación y limpieza de depósitos de caucho de la pista de vuelos en el Aeropuerto Seve Basllesteros-Santander"</t>
  </si>
  <si>
    <t>Sergio Ortega Alba, Jefe Sección Ingeniería y Mantenimiento, Carretera Aeropuerto s/n, 39600 Maliaño, Mail: sortega@aena.es, Tlf. 942.202.103</t>
  </si>
  <si>
    <t>El objeto de la asistencia fue, por un lado, la adecuación de la señalización horizontal de las calles de rodaje y acceso a pista, así como la faja lateral y la señal de toma de contacto del Aeropuerto Seve Ballesteros-Santander, y por otro lado la realización de la limpieza del caucho acumulado en las pistas de vuelo procedente de las ruedas de las aeronaves.</t>
  </si>
  <si>
    <t xml:space="preserve">La descripción de los servicios ejecutados incluyó:
• Trabajos previos relativos a los expedientes.
• Borrado, preparación de superficie y aplicación de pintura en la señalización horizontal de calles de rodaje y señal de plataforma de viraje en pista y señal de borde de calle de rodaje (SDR 97-16).
• Limpieza de caucho (SDR 118-16).
• Adecuación de la señalización horizontal en pista (SDR 97-16).
 </t>
  </si>
  <si>
    <t>JC DECAUX</t>
  </si>
  <si>
    <t>Dirección de Obra y Coordinación de Seguridad y Salud</t>
  </si>
  <si>
    <t>2 días</t>
  </si>
  <si>
    <t>765,54 $</t>
  </si>
  <si>
    <t>José Blanco Couto, Adjunto Dirección Técnica, Avenida de Aragón, 328, Polígono Industrial "Las Mercedes", 28022 Madrid, Mail: jose.blanco@jcdecaux.com, Tlf. 91.837.41.00</t>
  </si>
  <si>
    <t>El proyecto consistió en la realización de la Dirección de Obra en las actuaciones de actualización de soportes publicitarios.</t>
  </si>
  <si>
    <t>El alcance de la colaboración se circunscribió a las siguientes actividades:
• Dirección de Obra, visita inicial a las instalaciones.
• Emisión de acta de inicio de las obras.
• Revisión del Estudio de Seguridad y Salud presentado por el Contratista.
• Revisión de las condiciones de Seguridad y Salud de la obra.
• Redacción y visado del Acta de Aprobación del Plan de Seguridad y Salud y del Acta de inicio de las obras.
• Apertura del libro de incidencias.
• Redacción del Acta de recepción de las obras.</t>
  </si>
  <si>
    <t>13.554,70 $</t>
  </si>
  <si>
    <t>Proyectos</t>
  </si>
  <si>
    <t>Drag_Reg pista 18L-36R</t>
  </si>
  <si>
    <t>Oferta de colaboración en la preparación del concurso de Aena DIN 201/16 "Regeneración y eliminación de obstáculos de la pista 18L-36R. Aeropuerto Adolfo Suárez Madrid-Barajas"</t>
  </si>
  <si>
    <t>6.550,87 $</t>
  </si>
  <si>
    <t>El alcance de la oferta fue la preparación de la documentación técnica para la presentación por parte de DRAGADOS relativa al expediente DIN 201/2016.</t>
  </si>
  <si>
    <t>Los puntos que AIRIA desarrolló en la oferta fueron:
• Memoria (Proceso constructivo, Mantenimiento de la operatividad aeroportuaria, Seguridad Operacional).
• Conocimiento del Proyecto/Variantes (Estudio de las mediciones de las unidades del proyecto, Estudio de las nuevas unidades necesarias para ejecutar la obra, Presentación de alternativas al proyecto encaminadas a la mejora de procesos)</t>
  </si>
  <si>
    <t>Concesiones Brasil</t>
  </si>
  <si>
    <t>Colaboración y servicios de apoyo en la planificación y diseño de las instalaciones lado aire de dos aeropuertos en Brasil</t>
  </si>
  <si>
    <t>Subcontratación</t>
  </si>
  <si>
    <t>27.950,00 $</t>
  </si>
  <si>
    <t>LOUIS BERGER GROUP INC</t>
  </si>
  <si>
    <t>Jorge Novo, Director, Planning and Design, Global Aviation, 7270 NEW 12th Street, Suite 860, Miami, FL, 33126 USA, Mail: jnovo@louisberger.com, Tlf: +1.786.362.85.02</t>
  </si>
  <si>
    <t>AIRIA was required to provide the work and be in charge of the Airside facilities' planning and design for the two Southern airport, as related to the Due Diligence Infrastructure work stream and Master Plan work stream. The firm was also provided support in the Risk Management Matrix work stream and the OPEX and CAPEX work stream.</t>
  </si>
  <si>
    <t>AIRIA was required to develop Technical Advisory services to assist Louis Berger in completing the following tasks:
• Due Diligence (Infrastructure)
• Risk Management
• Master Plan and Development Project
• Forecasts of Operational and Capital Expenditures (OPEX, CAPEX)
As part of the task, the Consultant team carried out a comprehensive review of all major infrastructure and systems at Florianópolis and Porto Alegre airports, including airside, landside, terminal and access facilities and key supporting infrastructure.</t>
  </si>
  <si>
    <t>Drag_Plataforma ACE</t>
  </si>
  <si>
    <t>Oferta de colaboración en la preparación del concurso de Aena DIN 322/16 "Adecuación Plataforma Fase II. Aeropuerto de Lanzarote"</t>
  </si>
  <si>
    <t>7.371,10 $</t>
  </si>
  <si>
    <t>El alcance de la oferta fue la preparación de la documentación técnica para la presentación por parte de DRAGADOS relativa al expediente DIN 322/2016.</t>
  </si>
  <si>
    <t>Los puntos que AIRIA desarrolló en la oferta fueron los siguientes:
• Memoria (Proceso constructivo, Mantenimiento de la operatividad aeroportuaria, Seguridad Operacional)
• Conocimiento del proyecto/Variantes (Estudio de las mediciones de las unidades del proyecto, Estudio de las nuevas unidades necesarias para ejecutar la obra, Presentación de alternativas al proyecto encaminadas a la mejora de procesos)</t>
  </si>
  <si>
    <t>JCD STAND COCA COLA</t>
  </si>
  <si>
    <t>Proyecto Stand Publicitario Coca-Cola</t>
  </si>
  <si>
    <t>Empresa ingenieria principal</t>
  </si>
  <si>
    <t>863,97 $</t>
  </si>
  <si>
    <t>El proyecto consistió en el desarrollo y presentación del proyecto de ejecución que contemplara las diferentes comprobaciones estructurales y cálculos de instalaciones preceptivas.</t>
  </si>
  <si>
    <t>El alcance de la colaboración se circunscribió a las siguientes actividades:
• Descripción de la zona de instalación.
• Descripción del stand publicitario.
• Definición de la estructura de apoyo.
• Comprobación de límites estructurales.
• Cálculo alimentación eléctrica del Stand Publicitario.</t>
  </si>
  <si>
    <t>JCD PANTALLA LED MAD</t>
  </si>
  <si>
    <t>Proyecto de instalación de una pantalla LED</t>
  </si>
  <si>
    <t>Octubre 2016</t>
  </si>
  <si>
    <t>880,41 $</t>
  </si>
  <si>
    <t>El alcance de la colaboración incluyó las siguientes actividades:
• Descripción de la zona de instalación.
• Descripción de la pantalla LED.
• Definición de la estructura de apoyo.
• Comprobación de los límites estructurales.
• Cálculo de alimentación eléctrica de la Pantalla LED.
El proyecto fue firmado y visado por el Colegio Oficial de Ingenieros Aeronáuticos.</t>
  </si>
  <si>
    <t>Drag_Plataforma GRO</t>
  </si>
  <si>
    <t>Oferta de colaboración en la preparación del concurso de Aena DIN 323/16 "Adecuación de Pavimento en Plataforma en el Aeropuerto de Girona-Costa Brava"</t>
  </si>
  <si>
    <t>Vilobí d'Onyar</t>
  </si>
  <si>
    <t>6.600,09 $</t>
  </si>
  <si>
    <t>El alcance de la oferta fue la preparación de la documentación técnica para la presentación por parte de DRAGADOS relativa al expediente DIN 323/2016.</t>
  </si>
  <si>
    <t>Los puntos desarrollados por AIRIA fueron:
• Memoria (Proceso constructivo, Mantenimiento de la operatividad aeroportuaria, Seguridad Operacional).
• Conocimiento del Proyecto/Variantes (Estudio de las mediciones de las unidades del proyecto, Estudio de las nuevas unidades necesarias para ejecutar la obra, Presentación de alternativas al proyecto encaminadas a la mejora del proceso.</t>
  </si>
  <si>
    <t>JCD Plataforma Alfa Romeo</t>
  </si>
  <si>
    <t>Proyecto plataforma Vehículo Alfa Romeo</t>
  </si>
  <si>
    <t>415,58 $</t>
  </si>
  <si>
    <t>El alcance de la colaboración incluyó las siguientes actividades:
• Descripción de la zona de instalación.
• Descripción de la pantalla LED.
• Definición de la estructura de apoyo.
• Comprobación de los límites estructurales.</t>
  </si>
  <si>
    <t>Pintura Castellón</t>
  </si>
  <si>
    <t>Señalización horizontal en Aeropuerto de Castellón</t>
  </si>
  <si>
    <t>Benlloch</t>
  </si>
  <si>
    <t>1 semanas</t>
  </si>
  <si>
    <t>11.417,55 $</t>
  </si>
  <si>
    <t>SNC Lavalin Aeropuerto de Castellón, SAU</t>
  </si>
  <si>
    <t>Ivana Guinot Panadero, Aeropuerto de Castellón-CV13, Km 2,4, 12181 Benlloch, Castellón, Mail: ivana.guinot@aeropuertocastellon.es, Tlf. 964.57.86.00</t>
  </si>
  <si>
    <t>El objeto del expediente fue la adecuación de la señalización horizontal en la plataforma del Aeropuerto de Castellón.</t>
  </si>
  <si>
    <t>La descripción de los servicios ejecutados incluyó:
• Trabajos previos para la localización, alineación, replanteo, dimensiones y aplicación de la pintura.
• Borrado, preparación de superficie y aplicación de pintura en la señalización horizontal de los nuevos puestos de estacionamiento.</t>
  </si>
  <si>
    <t>Se ampliaron los servicios realizados en agosto del 2017, incluyendo la ejecución de pintura en puestos de aviación general. Los trabajos incluyeron:
• Preparación planos y simulación.
• Granallado, replanteo.
• Pintura automática.
• DFO
• Plano estado final CAD
El presupuesto de estos trabajos ascendió a 23.962,77 €</t>
  </si>
  <si>
    <t>OHL operatividad DUB</t>
  </si>
  <si>
    <t>Oferta de colaboración en la preparación del concurso "North Runway Construction Package No 2 - Design and Build North Runway and associated and Taxiways (NRCP2)"</t>
  </si>
  <si>
    <t>OHL Construcción</t>
  </si>
  <si>
    <t>3.499,63 $</t>
  </si>
  <si>
    <t>Alberto A. Lara Molina, MSc Civil Enginee, OHL Construction, Tendering Departament, Paseo de la Castellana, 259 D (Torre Espacio), 28046 Madrid, Mail: albertoantonio.lara@ohl.es, Tlf. 91.348.44.34</t>
  </si>
  <si>
    <r>
      <t xml:space="preserve">El alcance de la oferta fue la preparación de la documentación técnica que diera respuesta al epígrafe 9.3.2 </t>
    </r>
    <r>
      <rPr>
        <i/>
        <sz val="11"/>
        <color theme="1"/>
        <rFont val="Swis721 Lt BT"/>
        <family val="2"/>
      </rPr>
      <t>Understanding and appreciation of the Project</t>
    </r>
    <r>
      <rPr>
        <sz val="11"/>
        <color theme="1"/>
        <rFont val="Swis721 Lt BT"/>
        <family val="2"/>
      </rPr>
      <t xml:space="preserve"> dentro de la licitación a la que concurría OHL Construcción.</t>
    </r>
  </si>
  <si>
    <t>Los puntos desarrollados por AIRIA incluyeron la redacción de la metodología referente a:
"Demonstrate that the Tenderer has a clear understanding of the project and the Contracting's authority objectives/requirements whlist identifying a clear methodology in relation to:
A. Working airside including site access and security clearances.
B. Undertaking the works under rightly/restricted possessions including detailed methodology for daily hand back of the site at the end of each shift. Ability to work on AGL systems in live operational areas where restricting working procedures apply.
C. Ability to execute design, construct and commission in accordance with the programme and the phasing and operational restrictions.
D. Identification and management of key risks on the project.</t>
  </si>
  <si>
    <t>Objetivos Económicos MAD</t>
  </si>
  <si>
    <t>Servicio de Seguimiento y Verificación en el Cumplimiento de Objetivos de la División Económico-Administrativa definidos en el Plan Operativo del Aeropuerto Adolfo Suárez Madrid-Barajas</t>
  </si>
  <si>
    <t>Septiembre 2019</t>
  </si>
  <si>
    <t>71.086,27 $</t>
  </si>
  <si>
    <t>María Teresa Arévalo, Director del Expediente, Avenida de la Hispanidad s/n, Mail: ocontratacionmad@aena.es, Tlf. 91.393.65.44</t>
  </si>
  <si>
    <t xml:space="preserve">La descripción y especificaciones del servicio fueron la gestión de documentación administrativa de las actuaciones de los expedientes contempladas en el Plan Operativo del Aeropuerto Adolfo Suárez Madrid-Barajas, a fin de conseguir los objetivos establecidos. </t>
  </si>
  <si>
    <t>La descripción de servicios incluyó el desarrollo de la siguiente documentación:
• Revisión de la documentación proporcionada.
• Revisión de la documentación anexa al inicio del expediente.
• Análisis de la documentación en las fases de publicación de anuncio y verificación de ofertas presentadas. Envío de documentación a la Unidad Proponente para su evaluación.
• Apertura de proposiciones económicas, preparación de la convocatoria de apertura de proposiciones económicas.
• Propuesta de adjudicación y notificación a la empresa adjudicataria.</t>
  </si>
  <si>
    <t>Sí, Acta de Finalización de Trabajos</t>
  </si>
  <si>
    <t>Se aprobaron dos prórrogas anuales del contrato.</t>
  </si>
  <si>
    <t>JCD Lona GIR</t>
  </si>
  <si>
    <t>Proyecto para la instalación de dos lonas publicitarios en el aeropuerto de Girona</t>
  </si>
  <si>
    <t>1.257,68 $</t>
  </si>
  <si>
    <t>Josep Escribà Garrell, Jefe de Operaciones, Avenida Maresme, 16-18, Polígono Industrial "Grand Land", 08918 Badalona (Barcelona), Mail: josep.escriba@jcdecaux.com, Tlf. 93.335.71.10</t>
  </si>
  <si>
    <t>El proyecto consistió en la redacción de la documentación relacionada con la instalación de dos lonas publicitarias en la fachada del terminal de pasajeros del aeropuerto de Girona-Costa Brava.</t>
  </si>
  <si>
    <t>El alcance de la colaboración incluyó las siguientes actividades:
• Redacción del proceso constructivo (Memoria y Anejos necesarios, Planos, Pliego de Prescripciones Técnicas, Presupuesto).
• Visita a las instalaciones.</t>
  </si>
  <si>
    <t>JCD LEBARA</t>
  </si>
  <si>
    <t>Proyecto Stand Publicitario LEBARA</t>
  </si>
  <si>
    <t>El alcance de la colaboración incluyó las siguientes actividades:
• Descripción de la zona de instalación.
• Descripción del stand publicitario.
• Definición de la estructura de apoyo.
• Comprobación de los límites estructurales.
• Cálculo alimentación eléctrica Stand publicitario.</t>
  </si>
  <si>
    <t>Pista EAS</t>
  </si>
  <si>
    <t>Análisis de la reducción de pista del Aeropuerto de Hondarribia-San Sebastián</t>
  </si>
  <si>
    <t>Hondarribia</t>
  </si>
  <si>
    <t>3.937,09 $</t>
  </si>
  <si>
    <t>Gipuzkoako Bazkundea/Cámara de Guipúzcoa</t>
  </si>
  <si>
    <t>Imanol Saenz de Santamaria, Director de Desarrollo Comercial, Avenida de Tolosa, 75, 20018 Donostia San Sebastián (Guipúzcoa), Mail: isaenz@camaraguipuzcoa.com, Tlf. 943.000.285</t>
  </si>
  <si>
    <t xml:space="preserve">El alcance de la oferta fue la elaboración de un estudio aeronáutico técnico y normativo que analizara las implicaciones sobre el Aeropuerto de Hondarribia-San Sebastián del reglamento CE 216/2008 y su afección sobre el Reglamento UE 139/2014. </t>
  </si>
  <si>
    <t>Los trabajos desarrollados por AIRIA fueron:
• Análisis del marco normativo europeo y nacional.
• Estudio de longitud de pista con análisis del alcance-carga de pavo de las aeronaves.</t>
  </si>
  <si>
    <t>JCD Sustitución Videowalls</t>
  </si>
  <si>
    <t>Proyecto, Dirección y Coordinación de Obra para la Instalación de tres Videowalls</t>
  </si>
  <si>
    <t>3.609,00 $</t>
  </si>
  <si>
    <t>3.690,00 $</t>
  </si>
  <si>
    <t>El alcance de la colaboración incluyó las siguientes actividades:
• Redacción de proyecto de instalación (Memoria y planos, alimentación eléctrica de los videowalls, Anejo Operatividad, Anejo Seguridad y Salud).
• Dirección de Obra y Coordinación de Seguridad y Salud (Dirección de Obra, emisión de acta de inicio de las obras, Revisión del Estudio de Seguridad y Salud, Revisión de las condiciones de Seguridad y Salud, Redacción y visado del Acta de Aprobación del Plan de Seguridad y Salud y del Acta de inicio de las obras, apertura del libro de incidencias, Redacción del Acta de Recepción de las obras, Certificado Final de Obra).</t>
  </si>
  <si>
    <t>VIR Alcorcón</t>
  </si>
  <si>
    <t>Instalación Eléctrica y Luminosa Local Venta Jamones</t>
  </si>
  <si>
    <t>4.460,00 € (No hay oferta guardada)</t>
  </si>
  <si>
    <t>4.877,61 € (No hay oferta guardada)</t>
  </si>
  <si>
    <t>JAFESA IBÉRICOS S.L.</t>
  </si>
  <si>
    <t>Fernando Sánchez Antona, Avenida Petrólero nº10 local B , 28918 Leganés (Madrid), Mail: elba@grupoirtucasa.es, Tlf. 625.901.829</t>
  </si>
  <si>
    <t>El proyecto consistió en desarrollar las tareas relacionadas con la Dirección de Obra respecto a la siguiente obra: Acondicionamiento del Local Comercial Venta de Jamones en la Calle Gardenias, 39, local 5.2, situado en el municipio de Alcorcón.</t>
  </si>
  <si>
    <t xml:space="preserve">El alcance de los trabajos incluyó el desarrollo y consecución de los siguientes entregables:
• Documentación relacionada con la Licencia de obra.
• Documentación relativa al Proyecto eléctrico (Memoria, Planos, Pliego de Prescripciones Técnicas, Presupuesto).
• Documentación/Formularios de licencia de actividad. </t>
  </si>
  <si>
    <t>No. Hay un Certificado de Final de Obra</t>
  </si>
  <si>
    <t>JCD Plataforma Ford</t>
  </si>
  <si>
    <t>Proyecto plataforma Vehículo Ford</t>
  </si>
  <si>
    <t>858,50 $</t>
  </si>
  <si>
    <t>El alcance de la colaboración se circunscribió a la redacción del proyecto de instalación que incluyó las siguientes tareas:
• Descripción de la zona de instalación
• Descripción de la plataforma
• Definición de la estructura de apoyo
• Cálculo acometida eléctrica
• Comprobación límites estructurales</t>
  </si>
  <si>
    <t>JCD Marquesinas MAD</t>
  </si>
  <si>
    <t>Proyecto de integración de armario eléctrico en marquesina</t>
  </si>
  <si>
    <t>4 días</t>
  </si>
  <si>
    <t>612,44 $</t>
  </si>
  <si>
    <t>El objeto de la oferta fue la integración de proyecto que contuviera toda la documentación generada por JCDecaux para la integración de un cuadro eléctrico dentro de una marquesina para su aprobación por el Ayuntamiento de Madrid.</t>
  </si>
  <si>
    <t>El alcance de los trabajos incluyó la integración de toda la documentación disponible y la generación de una memoria descriptiva de la solución propuesta para su aprobación. Los documentos entregados fueron:
• Memoria descriptiva
• Planos
• Pliego de Prescripciones Técnicas</t>
  </si>
  <si>
    <t>Operaciones MAD</t>
  </si>
  <si>
    <t>Servicio de Control Interno y Seguimiento de Proyectos de la División de Operaciones</t>
  </si>
  <si>
    <t>Marzo 2020</t>
  </si>
  <si>
    <t>287.076,65 $</t>
  </si>
  <si>
    <t>Ignacio Aznar Hercilla, Director del Expediente</t>
  </si>
  <si>
    <t>El alcance del expediente fue el control interno y seguimiento de los proyectos de la División de Operaciones del aeropuerto Adolfo Suárez Madrid-Barajas.</t>
  </si>
  <si>
    <t>Los distintos servicios llevados a cabo fueron:
• Gestión de flota (control de suministros de material y combustibles, control de labores de los expedientes de limpieza y mantenimiento de la flota de vehículos, realización de informes para auditorías internas y externas, control de solicitudes de servicio en la aplicación corporativa para gestión de flotas, control de kilometraje de vehículos, control del servicio de conductores, control del sistema de control de armarios electrónicos, control de almacén e inventario de materiales del taller y equipamiento SSEI, utilización y actualización de la información en el Portal de Salvamento y Equipamiento.
• Control de operaciones (Elaboración y actualización de Procedimientos e Instrucciones Operativas del Departamento de Control de Operaciones, seguimiento de itinerarios formativos del personal de Operaciones-CGA, elaboración y actualización de manuales y documentación de formación y de referencia para Operaciones-CGA, mantenimiento del repositorio de documentación de trabajo de Operaciones-CGA, colaboración en la evaluación de nuevas necesidades y mejoras en herramientas de trabajo de Operaciones-CGA, seguimiento y análisis de la calidad del servicio percibido por las Compañías Aéreas respecto al servicio prestado desde Operaciones-CGA, seguimiento del cuadro de mandos y seguimiento de informes quincenales derivado de la retirada de equipos y vehículos, seguimiento de autorizaciones relacionadas con el Procedimiento de permanencia prolongada de aeronaves, y seguimiento de retrasos de vuelos imputados al Código 87)
• Gestión económica y documental (gestión de expedientes, pedidos y AEAP, control económico de inversiones, gastos e ingresos, control de la gestión documental, Secretaria de la División de Operaciones, elaboración de informes relativos a la prestación del servicio, utilización de las aplicaciones informáticas)
• Gestión de la formación (gestión de la formación en la Plataforma de Formación Aeroportuaria, gestión de la formación en SPDFMAD, planificación y gestión de la formación contemplada en los Itinerarios Formativos del personal, elaboración de material formativo, elaboración de cuestionarios de evaluación de la formación)</t>
  </si>
  <si>
    <t>No, aparece Acta de Liquidación y Recepción Única</t>
  </si>
  <si>
    <t>AirtopSoft</t>
  </si>
  <si>
    <t>Despliegue y actualización del simulador airtop</t>
  </si>
  <si>
    <t>Nacional</t>
  </si>
  <si>
    <t>3.171,54 $</t>
  </si>
  <si>
    <t>Los trabajos desarrollados fueron la redacción y consecución de:
• Sobre 1. Documentación administrativa
• Sobre 2. Documentación relativa a la solvencia técnica
• Sobre 3. Documentación técnica</t>
  </si>
  <si>
    <t>046</t>
  </si>
  <si>
    <t>JCD Letreros</t>
  </si>
  <si>
    <t>Redacción de diferentes proyectos para la instalación y sustitución de carteles luminosos en Aeropuertos de la red AENA</t>
  </si>
  <si>
    <t>5.293,19 $</t>
  </si>
  <si>
    <t>El alcance de la colaboración se circunscribió a la redacción de proyectos de ejecución, incluyendo:
• Memoria
• Documentación técnica
• Cálculos
• EBSS
• Pliego de Prescripciones Técnicas
• Presupuesto
• Planos</t>
  </si>
  <si>
    <t xml:space="preserve">El objeto del expediente fue la redacción de proyectos de ejecución a aprobar por el Departamento de Ingeniería y Mantenimiento de cada uno de los aeropuertos de actuación (Aeropuerto Adolfo Suárez Madrid-Barajas, Aeropuerto Barcelona-El Prat, Aeropuerto de Palma de Mallorca).
Se definieron las siguientes actuaciones: instalación de 2 carteles luminosos en el Aeropuerto Adolfo Suárez Madrid-Barajas, sustitución de 4 carteles luminosos en el Aeropuerto de Barcelona-El Prat y sustitución de 1 cartel luminoso en el Aeropuerto de Palma de Mallorca. </t>
  </si>
  <si>
    <t>047</t>
  </si>
  <si>
    <t>JCD Stand Bankinter</t>
  </si>
  <si>
    <t>Redacción de proyectos técnicos para la instalación de tres stand publicitarios de Bankinter en el aeropuerto Adolfo Suárez Madrid-Barajas</t>
  </si>
  <si>
    <t>7 días</t>
  </si>
  <si>
    <t>1.317,83 $</t>
  </si>
  <si>
    <t>Fernando Tomé Mayo, Jefe de Proyectos, Avenida de Aragón, 328, Polígono Industrial "Las Mercedes", 28022 Madrid, Mail: fernando.tome@jcdecaux.com, Tlf. 91.837.41.00</t>
  </si>
  <si>
    <t>El objeto del expediente fue la redacción de proyectos de ejecución a aprobar por el Departamento de Ingeniería y Mantenimiento del Aeropuerto Adolfo Suárez Madrid-Barajas.</t>
  </si>
  <si>
    <t>048</t>
  </si>
  <si>
    <t>JCD Lona Parking T2</t>
  </si>
  <si>
    <t>Redacción de memoria de cálculo de acciones - viento para la instalación de una lona publicitaria en el parking P2 del aeropuerto Adolfo Suárez Madrid-Barajas</t>
  </si>
  <si>
    <t>956,93 $</t>
  </si>
  <si>
    <t>El objeto del expediente fue la comprobación frente a viento de la lona a instalar en el aeropuerto descrito por parte del Departamento de Ingeniería y Mantenimiento.</t>
  </si>
  <si>
    <t>El alcance de la colaboración se circunscribió a la redacción de proyectos de la nota de cálculo solicitada por AENA. La nota de cálculo estuvo compuesta por:
• Memoria descriptiva de la instalación
• Anejo de cálculos
• Planos</t>
  </si>
  <si>
    <t>049</t>
  </si>
  <si>
    <t>Seguridad Sagrada Familia II</t>
  </si>
  <si>
    <t>Diciembre 2018</t>
  </si>
  <si>
    <t>Gustavo Rabadán, Responsable de Gestió Administrativa, Serveis Corporatius, Carrer Sicília 286, Baixos, 08013 Barcelona (Barcelona), Mail: gestio@sagradafamilia.org, Tlf. 93.208.04.14</t>
  </si>
  <si>
    <t>El objeto del servicio a prestar consistió en la realización de una amplia investigación y seguimiento de los niveles de calidad registrados en la Basílica de la Sagrada Familia.</t>
  </si>
  <si>
    <t>La lista de actividades realizadas fueron:
• Ejecución de ensayos
• Cálculo de indicadores de calidad
• Ejecución de pruebas de sistemas
• Generación de informes mensuales de ensayos
• Generación de informes de pruebas de sistemas
• Generación de otros informes o pruebas
• Diseño del servicio a prestar
• Planificación y seguimiento de las actividades
• Gestión de la documentación elaborada</t>
  </si>
  <si>
    <t>Diciembre 2017</t>
  </si>
  <si>
    <t>32.021,63 $</t>
  </si>
  <si>
    <t>Seguridad Familia II</t>
  </si>
  <si>
    <t>Enero 2018</t>
  </si>
  <si>
    <t>32.677,81 $</t>
  </si>
  <si>
    <t>Servicios de control de calidad de los puntos de atención al público de la Basílica de la Sagrada Familia</t>
  </si>
  <si>
    <t>13.517,33 $</t>
  </si>
  <si>
    <t xml:space="preserve">El objeto del contrato fue la realización del control de calidad del servicio prestado por el personal de los puntos de atención al público en la Basílica de la Sagrada Familia. </t>
  </si>
  <si>
    <t>La lista de actividades realizadas por AIRIA fueron:
• Ejecución de oleadas Mistery Visitor
• Ejecución ensayos sobre procedimientos
• Generación de informe diario y mensual
• Diseño del servicio a prestar
• Planificación y seguimiento de las actividades
• Gestión de la documentación elaborada</t>
  </si>
  <si>
    <t>Servicios técnicos de control, calidad y mejora de los niveles de seguridad, así como los servicios de un auditor de seguridad de la Basílica de la Sagrada Familia</t>
  </si>
  <si>
    <t>Agosto 2018</t>
  </si>
  <si>
    <t>20.505,66 $</t>
  </si>
  <si>
    <t xml:space="preserve">El objeto del contrato fue la realización del control, calidad y mejora del nivel de seguridad y los servicios de un auditor de seguridad en la Basílica de la Sagrada Familia. </t>
  </si>
  <si>
    <t>AIRIA llevó a cabo las siguientes tareas:
• Revisión de procedimientos e informes de seguridad
• Diseño de auditoría de seguridad
• Coordinación de la auditoría
• Asesoramiento a la configuración de los sistemas de seguridad
• Evaluación de riesgos sistémicos
• Apoyo técnico y asesoramiento al Responsable de Seguridad de la Fundación</t>
  </si>
  <si>
    <t>Encuestas HAPPY MAD</t>
  </si>
  <si>
    <t>Servicios auxiliares para el sistemas de encuestas "HAPPY OR NOT" del Aeropuerto Adolfo Suárez Madrid-Barajas</t>
  </si>
  <si>
    <t>Febrero 2017</t>
  </si>
  <si>
    <t>Abril 2017</t>
  </si>
  <si>
    <t>16.244,15 $</t>
  </si>
  <si>
    <t>Marcos Rodríguez de la Torre, Jefe Departamento Planificación y Coordinación, División Seguridad Aeroportuaria, Terminal 1, Control D, Edifición de Unión, 2ª Planta, 28042 Madrid (Madrid), Mail: mrtorre@aena.es, Tlf. 91.393.65.33</t>
  </si>
  <si>
    <t>El objeto del pedido era mejorar la calidad de los servicios de control de seguridad mediante la prestación de servicios auxiliar para apoyar y asistir a los pasajeros que quisieron hacer uso del nuevo sistema de encuestas de calidad "Happy or Not" en el aeropuerto Adolfo Suárez Madrid-Barajas.</t>
  </si>
  <si>
    <t>Se realizaron las siguientes tareas:
• 1.200 horas de servicio auxiliar en el "Happy or Not" de los filtros de seguridad T4+2, T4 Conexiones, T4 Puente Aéreo y T2.
• Elaboración de una base de datos.
• Elaboración de informes diarios con los datos recogidos en el día anterior.
• Elaboración de informe final con las conclusiones y tratamiento de los datos recogidos durante el servicio.</t>
  </si>
  <si>
    <t>JCD Stand Wizink</t>
  </si>
  <si>
    <t>Proyecto para la instalación de Stand Publicitario Wizink</t>
  </si>
  <si>
    <t>El objeto del expediente fue la redacción de proyecto para la instalación de un stand publicitario.</t>
  </si>
  <si>
    <t>El alcance de la colaboración incluyó el desarrollo de las siguientes tareas:
• Redacción de proyecto: cálculo acometida eléctrica y definición de planos</t>
  </si>
  <si>
    <t>JCD Bastidor México</t>
  </si>
  <si>
    <t>Proyecto instalación Bastidor México</t>
  </si>
  <si>
    <t>984,27 $</t>
  </si>
  <si>
    <t>El alcance de la colaboración incluyó el desarrollo de las siguientes tareas:
• Redacción de memoria
• Planos
• Cálculo de fijaciones
• Visado del Colegio Oficial</t>
  </si>
  <si>
    <t>JCD Mov. Stand Bankinter</t>
  </si>
  <si>
    <t>Proyecto Traslado Stand Bankinter</t>
  </si>
  <si>
    <t>El alcance de la colaboración incluyó el desarrollo de las siguientes tareas:
• Desarrollo y especificaciones de la instalación eléctrica
• Caracterización de la protección contraincendios
• Especificaciones/características del stand
• Estudio Básico de Seguridad y Salud</t>
  </si>
  <si>
    <t>JCD Cerr. Stand Bankinter</t>
  </si>
  <si>
    <t>Proyecto para instalación cerramiento Stand Bankinter T3</t>
  </si>
  <si>
    <t>437,45 $</t>
  </si>
  <si>
    <t>JCD Hyundai I30 T2</t>
  </si>
  <si>
    <t>Proyecto para stand publicitario Hyundai I30</t>
  </si>
  <si>
    <t>17</t>
  </si>
  <si>
    <t>Simu T1 BCN Bofill</t>
  </si>
  <si>
    <t>Simulación de las pasarelas de embarque del Dique Sur de la T1 del Aeropuerto de Barcelona-El Prat</t>
  </si>
  <si>
    <t>9.186,53 $</t>
  </si>
  <si>
    <t>Taller de Arquitectura Ricardo Bofill</t>
  </si>
  <si>
    <t>Lorena Prieto, Architect Project Manager, Avinguda Industria, 14, 08960 Sant Just Desvern (Barcelona), Mail: lprieto@bofill.com, Tlf. 93.499.99.00</t>
  </si>
  <si>
    <t>El alcance de la asistencia incluyó la simulación de las posiciones y el funcionamiento de las pasarelas de embarque para las posiciones de estacionamiento del Dique Sur de la T1 del Aeropuerto de Barcelona-El Prat para todas las aeronaves requeridas.</t>
  </si>
  <si>
    <t>Dentro de las tareas realizadas por AIRIA se incluyeron:
• Simulación de cada pasarela para cada tipo de aeronave susceptible de utilizarla, mediante el software de simulación aeroportuaria Pathplanner.
• Análisis y propuesta de ubicaciones de pasarela respetando la arquitectura propuesta por Bofill.
• Análisis y propuestas de posibles modificaciones a las posiciones de estacionamiento.
• Búsqueda y propuestas de la solución más acorde con la imagen arquitectónica.
• Propuesta de soluciones para la integración de escaleras de servicio y rampas para equipajes según la problemática existente.</t>
  </si>
  <si>
    <t>Patrimonio MAD</t>
  </si>
  <si>
    <t>Servicio de revisión, actualización e implantación de mejoras en el inventario del aeropuerto Adolfo Suárez Madrid-Barajas</t>
  </si>
  <si>
    <t>Marzo 2018</t>
  </si>
  <si>
    <t>46.151,40 $</t>
  </si>
  <si>
    <t>María Teresa Arévalo, Director del Expediente, Avenida de la Hispanidad s/n, Mail: mtarevalo@aena.es, Tlf. 91.393.65.44</t>
  </si>
  <si>
    <t>El expediente comprendió la revisión y actualización de todos los activos presentes en el aeropuerto Adolfo Suárez Madrid-Barajas.</t>
  </si>
  <si>
    <t>La lista de trabajos realizados fueron:
• Actualización de las localizaciones físicas (planificación, visitas in-situ, actualización de planos y documentación, informe de cambios).
• Actualización de inventario (selección de la localización, obtención de listado de activos, visita de instalaciones, conciliación de activos).</t>
  </si>
  <si>
    <t>JCD Podium Guerlain</t>
  </si>
  <si>
    <t>Proyecto para Stand Guerlain</t>
  </si>
  <si>
    <t>El objeto del contrato fue el desarrollo del proyecto para instalar un cerramiento de un stand de Bankinter.</t>
  </si>
  <si>
    <t>El objeto del contrato fue el desarrollo del proyecto para instalar un stand publicitario respecto al modelo Hyundai I30.</t>
  </si>
  <si>
    <t>El objeto del contrato fue el desarrollo del proyecto de traslado de un stand de Bankinter.</t>
  </si>
  <si>
    <t>El objeto del contrato fue el desarrollo del proyecto de instalación de la estructura de Bastidor México.</t>
  </si>
  <si>
    <t>El objeto del contrato fue el desarrollo del proyecto para instalar un stand publicitario de la empresa Guerlain.</t>
  </si>
  <si>
    <t>El alcance de la colaboración incluyó el desarrollo de las siguientes tareas:
• Redacción de proyecto: desarrollo de proyecto de instalación, planos de ubicación y detalles constructivos.</t>
  </si>
  <si>
    <t>Visado proyectos varios WDFG</t>
  </si>
  <si>
    <t>Septiembre 2018</t>
  </si>
  <si>
    <t>2.591,91 $</t>
  </si>
  <si>
    <t>ALEATORIA PROJECTS S.L.P</t>
  </si>
  <si>
    <t>Pablo García de Madariaga, Mail: pablo@aleatoria.es, Tlf. 91.565.30.01</t>
  </si>
  <si>
    <t>El objeto del expediente fue el visado de distintos locales en el aeropuerto Adolfo Suárez Madrid-Barajas.</t>
  </si>
  <si>
    <t>El alcance del contrato incluyó todas las tareas relacionadas con el visado de los siguientes proyectos, incluyendo memorias, planos, PPT y presupuestos:
• Local 01: Venta prensa - 86,71 m2
• Local 07: Venta prensa - 114,19 m2
• Local 13: Venta prensa - 137 m2
• Local 15: Venta prensa - 42,88 m2
• Local 19: Venta prensa - 143,26 m2
• Local 25: Venta prensa - 57,80 m2</t>
  </si>
  <si>
    <t xml:space="preserve">No se realizó el proyecto del Local 13. Sin embargo, se realizó el visado del Local 17. </t>
  </si>
  <si>
    <t>Visados ALEATORIA</t>
  </si>
  <si>
    <t>Certificado Final de Obra de proyectos Varios WDFG</t>
  </si>
  <si>
    <t>5 semanas</t>
  </si>
  <si>
    <t>1.968,54 $</t>
  </si>
  <si>
    <t>2.493,49 $</t>
  </si>
  <si>
    <t>1.585,77 $</t>
  </si>
  <si>
    <t>El objeto de esta parte del expediente fue la emisión del Certificado Final de Obra correspondiente a distintos locales en el aeropuerto Adolfo Suárez Madrid-Barajas.</t>
  </si>
  <si>
    <t>El alcance del contrato incluyó todas las tareas relacionadas con la emisión y firma del CFO de los siguientes locales:
• Local 01: Venta prensa - 86,71 m2
• Local 07: Venta prensa - 114,19 m2
• Local 13: Venta prensa - 137 m2
• Local 15: Venta prensa - 42,88 m2
• Local 19: Venta prensa - 143,26 m2
• Local 25: Venta prensa - 57,80 m2</t>
  </si>
  <si>
    <t>No existe constancia de CFO para el Local 15.</t>
  </si>
  <si>
    <t>Visado de proyecto</t>
  </si>
  <si>
    <t>Octubre 2017</t>
  </si>
  <si>
    <t>273,41 $</t>
  </si>
  <si>
    <t>El objeto del expediente fue el visado de un local en el aeropuerto Adolfo Suárez Madrid-Barajas.</t>
  </si>
  <si>
    <t>El alcance del contrato incluyó todas las tareas relacionadas con la visado del siguiento proyecto, incluyendo memorias, planos, PPT y presupuestos:
• Almacén 51521: 17,30 m2</t>
  </si>
  <si>
    <t>Encuestas ACI MAD</t>
  </si>
  <si>
    <t>Realización de encuestas de satisfacción de pasajeros incluidas en el estudio ACI-ASQ</t>
  </si>
  <si>
    <t>Julio 2017</t>
  </si>
  <si>
    <t>5.953,75 $</t>
  </si>
  <si>
    <t>Jorge Ambite Pareja, División Seguridad Operacional, Calidad y Medio Ambiente, Edificio de Unión, 2ª Planta, 28042 Madrid, Mail: jjambite@aena.es, Tlf. 91.324.33.46</t>
  </si>
  <si>
    <t>El objeto del expediente fue la realización de encuestas ASQ para medir la satisfacción de los pasajeros que se disponían a embarcar en el aeropuerto Adolfo Suárez Madrid-Barajas a lo largo del año 2017 en base al programa de estudios dirigido por ACI.</t>
  </si>
  <si>
    <t>Las tareas realizadas por AIRIA fueron:
• Realización de encuestas ASQ
• Redacción de Informe de cumplimiento de la programación
• Redacción de Informe de resultados
• Redacción de Informe final</t>
  </si>
  <si>
    <t>Análisis Facturación MAD</t>
  </si>
  <si>
    <t xml:space="preserve">Servicio de análisis de Sistemas y Datos utilizados en el ámbito de la facturación de los ingresos aeronáuticos del aeropuerto Adolfo Suárez Madrid-Barajas </t>
  </si>
  <si>
    <t>Abril 2020</t>
  </si>
  <si>
    <t>142.172,55 $</t>
  </si>
  <si>
    <t>Beatriz Rosillo Heras, Jefe de la División, Avenida de la Hispanidad, s/n, T2 4ª Planta, 28042 Madrid, Mail: contratacionmad@aena.es, Tlf. 91.393.65.44</t>
  </si>
  <si>
    <t>El objeto del servicio fue realizar un análisis de las aplicaciones, procedimientos e información de los sistemas usados a fin de detectar posibles incidencias en la facturación y poder ser corregidos.</t>
  </si>
  <si>
    <t>Las tareas realizadas por AIRIA fueron:
• Desarrollo de Plan detallado de trabajo
• Creación de Manual de procedimientos
• Desarrollo de documentación de seguimiento y control del proyecto
• Creación de informes mensuales, trimestrales y anuales resultantes de la explotación de la aplicación SAP R3, SIGA, SINTESIS...
• Redacción de documentos y creación de presentaciones a demanda del Director del Expediente destinadas a la consecución del objeto final del servicio
• Desarrollo de informes de seguimiento (indicadores de ejecución, informes de incidencias y documentación de las actas de reuniones)</t>
  </si>
  <si>
    <t>Taller Alcorcón</t>
  </si>
  <si>
    <t>Proyecto eléctrico Taller Boadilla</t>
  </si>
  <si>
    <t>3 días</t>
  </si>
  <si>
    <t>Javier Polo Ruiz</t>
  </si>
  <si>
    <t>Javier Polo Ruiz, Mail: jpolo51@gmail.com</t>
  </si>
  <si>
    <t>El objeto del expediente fue la realización de un proyecto eléctrico básico.</t>
  </si>
  <si>
    <t>El alcance de los servicios incluyó la redacción y desarrollo de los siguientes entregables:
• Memoria
• Anejo cálculos
• Pliego de Prescripciones Técnicas
• Planos</t>
  </si>
  <si>
    <t>JCD Soportes T3</t>
  </si>
  <si>
    <t>SOE Ampliación Calo Soportes Publicitarios T3</t>
  </si>
  <si>
    <t>262,47 $</t>
  </si>
  <si>
    <t>Juan Rodríguez, Jefe de Servicio Metro y Aeropuerto de Madrid, Avenida de Aragón, 328, Polígono Industrial "Las Mercedes", 28022 Madrid, Mail: juan.rodriguez@jcdecaux.com, Tlf. 91.837.41.00</t>
  </si>
  <si>
    <t>El objeto del proyecto fue definir la ampliación de la instalación de soportes publicitarios instalados en el aeropuerto Adolfo Suárez Madrid-Barajas, concretamente 2 OPPI digitales elevados en la Zona de embarque de la Terminal 3, próximos a las puertas 74 y 75.</t>
  </si>
  <si>
    <t>El alcance de los servicios incluyó la realización de la documentación para presentar la justificación SOE, incluyendo los anejos, características técnicas y planos.</t>
  </si>
  <si>
    <t>VIR- Nave Guadalajara</t>
  </si>
  <si>
    <t>Proyecto de Actividad y Proyecto Eléctrico Nave para taller de automóviles en Guadalajara</t>
  </si>
  <si>
    <t>Guadalajara</t>
  </si>
  <si>
    <t>Virelec Energía, S.L.</t>
  </si>
  <si>
    <t>Gabriel Navarro, Calle Serrano 43-45, Virelec Energía, S.L., Mail: direccion@virelecenergia.es, Tlf. 949.030.937</t>
  </si>
  <si>
    <t>El objeto del contrato fue la realización del Proyecto de actividad y el Proyecto Eléctrico para una nave que se usaría como taller de automóviles, en Guadalajara.</t>
  </si>
  <si>
    <t>El alcance de los servicios incluyó:
• Inspección visual y toma de datos
• Proyecto eléctrico básico y estudio de iluminación
• Proyecto de actividad</t>
  </si>
  <si>
    <t>JCD BASTIDORES T4</t>
  </si>
  <si>
    <t>Proyecto instalación lonas Tommy Hilfiger en T4</t>
  </si>
  <si>
    <t>El objeto del trabajo fue la redacción del proyecto relativo a la instalación de unas lonas publicitarias en el aeropuerto Adolfo Suárez Madrid-Barajas.</t>
  </si>
  <si>
    <t>El alcance de los servicios incluyó el desarrollo o redacción de los siguientes entregables:
• Proyecto de instalación
• Planos de ubicación
• Detalles constructivos</t>
  </si>
  <si>
    <t>Torre FerroNATS</t>
  </si>
  <si>
    <t>Proyecto instalaciones Torre FerroNATS</t>
  </si>
  <si>
    <t>2.952,81 $</t>
  </si>
  <si>
    <t>328,09 $</t>
  </si>
  <si>
    <t>Proyecto Creativa</t>
  </si>
  <si>
    <t>Guadalupe Albarracín, Calle Pedrezuela 4, Bajo 1, Polígono Industrial Ventorro del Cano, 28925 Alcorcón (Madrid), Mail: galbarracin@proyectocreativa.com, Tlf. 91.870.99.27</t>
  </si>
  <si>
    <t>El objeto del proyecto era realizar el proyecto de instalaciones correspondiente a una torre de control en Córdoba.</t>
  </si>
  <si>
    <t>El alcance de los servicios debía incluir:
• Realización de un inventario y revisión de las instalaciones in-situ.
• Redacción de un anejo de cálculos para Baja Tensión, Protección Contraincendios, Protección Catódica, Protección contra rayos, Protección contra sobretensiones.</t>
  </si>
  <si>
    <t>El proyecto finalmente no se llevó a cabo debido a que FerroNATS puso unas exigencias que Proyecto Creativa no podía asumir. Se recibió un importe relativo a los gastos mínimos ocasionados.</t>
  </si>
  <si>
    <t>JCD LEXUS</t>
  </si>
  <si>
    <t>Proyecto instalación Stand Lexus</t>
  </si>
  <si>
    <t>918,65 $</t>
  </si>
  <si>
    <t>El objetivo del proyecto fue la redacción y desarrollo de un proyecto de instalación de un nuevo stand publicitario en el aeropuerto Adolfo Suárez Madrid-Barajas.</t>
  </si>
  <si>
    <t>Los servicios realizados por AIRIA fueron:
• Redacción de proyecto:
            - Memoria descriptiva
            - Cálculo eléctrico
            - Comprobación estructural
            - Planos
            - Modificación "As Built"
• Visado de proyecto</t>
  </si>
  <si>
    <t>Calidad PMR ALC 16-17</t>
  </si>
  <si>
    <t>Asistencia Técnica para la supervisión del Servicio de Asistencia a Personas de Movilidad Reducida en el Aeropuerto de Alicante-Elche</t>
  </si>
  <si>
    <t>Junio 2020</t>
  </si>
  <si>
    <t>37.986,69 $</t>
  </si>
  <si>
    <t>113.960,07 $</t>
  </si>
  <si>
    <t>Francesc Josep Banyuls Fornés, Jefe Departamento Control de Servicios, Mail: fjbanyuls@aena.es, Tlf: 966.919.311</t>
  </si>
  <si>
    <t>El servicio consistió en supervisar y garantizar el cumplimiento de los niveles de calidad prestados por la empresa adjudicataria del "Servicio de asistencia a los pasajeros de movilidad reducida en el Aeropuerto de Alicante-Elche", realizar propuestas de mejora para la optimización del servicio, supervisar la gestión ambiental del servicio y de los aspectos de Seguridad Operacional así como gestionar las incidencias producidas.</t>
  </si>
  <si>
    <t>Los servicios realizados por AIRIA fueron:
• Realización de informes en los que se verificara el cumplimiento por parte del prestador del Servicio de asistencia a PMR de los niveles de calidad de servicio.
• Seguimiento y gestión de las incidencias producidas en la prestación de asistencias.
• Supervisión de la gestión ambiental y de Seguridad Operacional del servicio.
• Realización de controles de determinados parámetros de calidad del servicio de asistencia a PMR. Desarrollo de informes con análisis estadístico, conclusiones y propuestas de mejora.</t>
  </si>
  <si>
    <t>Existe dos contratos relativos a la prórroga de los servicios. Dicho contrato quedó paralizado en marzo de 2020 por la situación generada por el COVID-19, quedando definitivamente resuelto en junio de 2020.</t>
  </si>
  <si>
    <t>Existe un contrato relativo a la prórroga de los servicios. Se entiende que se realizó una segunda prórroga del expediente. Dicho contrato quedó paralizado en abril de 2020 por la situación generada por el COVID-19, quedando definitivamente resuelto en octubre de 2020.</t>
  </si>
  <si>
    <t>JCD Monopostes</t>
  </si>
  <si>
    <t>Dirección Obra Desmontaje Monopostes</t>
  </si>
  <si>
    <t>15 días</t>
  </si>
  <si>
    <t>3.663,68 $</t>
  </si>
  <si>
    <t>UTE CLEAR CHANNEL/CEMUSA</t>
  </si>
  <si>
    <t>El objeto del contrato fue realizar las labores propias de Dirección de Obra para la realización del control y seguimiento del desmontaje de 15 monopostes publicitarios repartidos por Madrid.</t>
  </si>
  <si>
    <t>Los servicios realizados fueron:
• Tareas de Dirección de Obra: supervisión de los trabajos acorde al procedimiento y normas vigentes. Comprobación de requisitos de Seguridad y Salud y medidas de protección.
• Realización de informe final exponiendo el resultado del seguimiento diario realizado.</t>
  </si>
  <si>
    <t>JCD Lona T4 Factu</t>
  </si>
  <si>
    <t>Proyecto instalación Lonas Facturación T4</t>
  </si>
  <si>
    <t>El objeto del expediente fue realizar el proyecto de instalación para unas lonas publicitarias en la zona de facuración de la T4 del aeropuerto Adolfo Suárez Madrid-Barajas.</t>
  </si>
  <si>
    <t>Las tareas realizadas por AIRIA fueron:
• Redacción de proyecto:
            - Memoria descriptiva
            - Cálculo estructura
            - Planos de definición</t>
  </si>
  <si>
    <t>JCD METRO BIO</t>
  </si>
  <si>
    <t>Sustitución Soportes Publicitarios Metro Bilbao</t>
  </si>
  <si>
    <t>5 días</t>
  </si>
  <si>
    <t>4.762,78 $</t>
  </si>
  <si>
    <t>El objeto del expediente fue realizar las labores propias de proyecto y dirección de obra respecto a la sustitución, reubicación e instalación de nuevos soportes digitales en varias estaciones de la red de metro de Bilbao.</t>
  </si>
  <si>
    <t>Las tareas realizadas incluyeron:
• Redacción de proyecto de instalación
            - Memoria descriptiva
            - Instalación eléctrica
            - Características mobiliario
            - Cálculo estructuras
            - Planos de definición
            - Pliego de Prescripciones Técnicas
• Dirección de Obra
            - Visita diaria obra
            - Emisión informe final de obra
            - Certificado final de obra</t>
  </si>
  <si>
    <t>25 días</t>
  </si>
  <si>
    <t>JCD Lona T2 Llegadas</t>
  </si>
  <si>
    <t>Instalación Bastidor Llegadas</t>
  </si>
  <si>
    <t>El objeto del proyecto fue definir las actuaciones para la instalación de una lona publicitaria en la Terminal 2 del aeropuerto Adolfo Suárez Madrid-Barajas.</t>
  </si>
  <si>
    <t>Las tareas desarrolladas por AIRIA fueron:
• Redacción de proyecto de instalación
            - Memoria descriptiva
            - Características lona
            - Planos de ubicación
            - Detalles constructivos</t>
  </si>
  <si>
    <t>Calidad Restauración MAD</t>
  </si>
  <si>
    <t>Servicio de control y supervisión de los niveles de calidad de los servicios de restauración del aeropuerto Adolfo Suárez Madrid-Barajas</t>
  </si>
  <si>
    <t>17.441,29 $</t>
  </si>
  <si>
    <t>María Silva García-Pardo, Jefe Departamento Servicios Comerciales, Avenida Hispanidad s/n - Dique Sur - Oficina 11035, 28042 Madrid, Mail: mjsilva@aena.es, Tlf. 91.324.37.37</t>
  </si>
  <si>
    <t>El objeto de la asistencia fue la realización del seguimiento y supervisión de los niveles de calidad de los servicios de restauración del aeropuerto Adolfo Suárez Madrid-Barajas, con el objetivo de medir la calidad del servicio, de los establecimientos y de la atención al cliente y pasajeros.</t>
  </si>
  <si>
    <r>
      <t xml:space="preserve">Los trabajos desarrollados tuvieron por alcance:
• Seguimiento de los horarios de los locales de restauración; supervisión in-situ y elaboración de informes mensuales.
• Seguimiento de la calidad percibida de los puntos de restauración; supervisión in situ y elaboración de informes mensuales.
• Seguimiento de precios de restauración y comparativa con locales espejo en la ciudad de Madrid; supervisión in-situ y elaboración de informe final.
• Seguimiento de artículos autorizados en los establecimientos de restauración; supervisión in-situ y elaboración de informes mensuales.
• Seguimiento del proceso integral de venta mediante la realización de </t>
    </r>
    <r>
      <rPr>
        <i/>
        <sz val="11"/>
        <color theme="1"/>
        <rFont val="Swis721 Lt BT"/>
        <family val="2"/>
      </rPr>
      <t>mistery shoppers</t>
    </r>
    <r>
      <rPr>
        <sz val="11"/>
        <color theme="1"/>
        <rFont val="Swis721 Lt BT"/>
        <family val="2"/>
      </rPr>
      <t>.
• Supervisión de la formación de colas en periodos punta de los locales de restauración; supervisión in-situ y elaboración de informes ad hoc.
• Tratamiento estadístico de datos obtenidos mediante trabajo de campo.
• Elaboración de propuestas de mejora de los servicios de restauración del aeropuerto.</t>
    </r>
  </si>
  <si>
    <t>JCD BCN Linea Vida</t>
  </si>
  <si>
    <t>Proyecto instalación línea de vida y luminoso</t>
  </si>
  <si>
    <t>754,61 $</t>
  </si>
  <si>
    <t>El objeto del proyecto fue definir las actuaciones para la instalación de una línea de vida en la caja de taxis de la planta P10 de la terminal T1 en el aeropuerto de Barcelona-El Prat.</t>
  </si>
  <si>
    <t>El alcance de las tareas realizadas fue:
• Redacción de proyecto de instalación TIPO 3:
            - Memoria descriptiva
            - Anejo Justificación Línea de vida
            - Anejo Cálculos eléctricos
            - Planos de definición
              (Estado proyectado, Canalizaciones
               e instalaciones eléctrica)</t>
  </si>
  <si>
    <t>Dirección de obra y coordinación de Seguridad y Salud. Instalación de letreros luminosos en el Aeropuerto de Barcelona</t>
  </si>
  <si>
    <t>1.531,09 $</t>
  </si>
  <si>
    <t>El objeto del contrato fue la realización de las tareas relacionadas con la Dirección de Obra y Coordinación de Seguridad y Salud referentes a la instalación de letreros luminosos en el Aeropuerto de Barcelona-El Prat.</t>
  </si>
  <si>
    <t>El alcance de las tareas desarrolladas por AIRIA fueron:
• Dirección de Obra (2 visitas incluidas)
• Emisión del acta de inicio de las obras
• Revisión del Plan de Seguridad y Salud elaborado por el contratista
• Revisión de las condiciones de Seguridad y Salud de la obra (2 visitas)
• Redacción y visado del Acta de Aprobación del Plan de Seguridad y Salud y del Acta de Inicio de las Obras
• Apertura del libro de incidencias
• Redacción del acta de recepción de las obras
• Certificado Final de Obra</t>
  </si>
  <si>
    <t>JCD LONA MODULO A T4</t>
  </si>
  <si>
    <t>Proyecto instalación lona módulo a Terminal T4 - Madrid</t>
  </si>
  <si>
    <t>El objeto del contrato fue la realización de las tareas relacionadas con la instalación de una lona publicitaria en un módulo adyacente al Terminal T4 del Aeropuerto Adolfo Suárez Madrid-Barajas.</t>
  </si>
  <si>
    <t>Las tareas llevadas a cabo por AIRIA fueron:
• Redacción de proyecto de instalación
• Desarrollo de planos de ubicación
• Desarrollo de detalles constructivos</t>
  </si>
  <si>
    <t>Mejora Económica BCN</t>
  </si>
  <si>
    <t>Mejora de los procesos económicos del Aeropuerto de Barcelona-El Prat</t>
  </si>
  <si>
    <t>Junio 2019</t>
  </si>
  <si>
    <t>273.118,94 $</t>
  </si>
  <si>
    <t>Luis Hinarejos Gómez, Director del Expediente, Jefe Departamento Control Económico, Terminal T2 - Bloque Técnico Planta 2, oficina 8, 08820 El Prat de Llobregat (Barcelona), Mail: lhinarejos@aena.es, Tlf. 93.297.11.25</t>
  </si>
  <si>
    <t>El objetivo del expediente fue la consecución de un objetivo de eficiencia económica, a través de la maximización de los ingresos aeronáuticos y la reducción de costes del Aeropuerto de Barcelona-El Prat. En concreto, se buscó prestar asistencia en la elaboración de la contabilidad de costes ABC, en la comprobación y validación de la facturación de los ingresos aeronáuticos del aeropuerto, así como en la planificación y seguimiento de la evolución y desviaciones presupuestarias de los ingresos aeronáuticos en dicha infraestructura.</t>
  </si>
  <si>
    <t>Las actividades realizadas por AIRIA fueron:
• Área I. Contabilidad de Costes ABC
     - Elaboración anual de la Contabilidad de
     Costes ABC
     - Elaboración de estudios relativos a
     actividades y servicios prestados
• Área II. Validación de facturación de ingresos aeronáuticos
     - Validación y análisis de la información de
     servicios aeronáuticos previos al cierre
     contable mensual
     - Validación y análisis de la facturación de
     los ingresos aeronáuticos posteriores al
     cierre contable mensual
     - Control y seguimiento de los ingresos
     aeronáuticos analizados
     - Informe de ingresos de principales
     clientes
• Área III. Análisis Ingresos Aeronáuticos
     - Elaboración de previsión de ingresos
     aeronáuticos
     - Elaboración de estimación de cierre de
     ingresos
     - Elaboración de presupuesto de tesorería
     de cobros
     - Elaboración de informes mensuales de
     seguimiento presupuestario de ingresos
     aeronáuticos
     - Elaboración de informes mensuales de
     evolución de ingresos aeronáuticos
     - Avance de justificaciones a las
     principales desviaciones/variaciones
     producidas en ingresos aeronáuticos
     - Validación de la contabilización de
     ingresos aeronáuticos
     - Elaboración de tabla resumen mensual
     de indicadores relevantes de ingresos
     aeronáuticos
     - Estudios de seguimiento de ingresos
     bonificados por algunos servicios
     aeronáuticos
     - Elaboración de estudios a medida
     referentes a ingresos aeronáuticos</t>
  </si>
  <si>
    <t>No. Hay una Acta de Recepción y Liquidación firmada.</t>
  </si>
  <si>
    <t>JCD Videowall PMI</t>
  </si>
  <si>
    <t>Proyecto Videowall PMI</t>
  </si>
  <si>
    <t>623,00 $</t>
  </si>
  <si>
    <t>Rafael Albelda, CEMUSA, Coordinador Aeropuerto de Baleares, Departamento de Operaciones, Edificio Terminal 6ª Planta Oficinas. Bloque 1, 07611 Palma de Mallorca, Mail: rafael.albelda@jcdecaux.com, Tlf. 659.03.40.16</t>
  </si>
  <si>
    <t>El objeto del contrato fue la realización de la instalación de un nuevo Videowall 3x3 en la Terminal del Aeropuerto de Palma de Mallorca.</t>
  </si>
  <si>
    <t>Las actividades realizadas por AIRIA fueron las correspondientes a un proyecto de tipo II. Se desarrolló la redacción de proyecto, con la correspondiente documentación: 
• Memoria descriptiva
• Anejos de definición del elemento publicitario
• Anejo de cálculo eléctrico
• Desarrollo de planos</t>
  </si>
  <si>
    <t>JCD Salas VIP MAD</t>
  </si>
  <si>
    <t>Proyecto Mobiliario Salas VIP MAD</t>
  </si>
  <si>
    <t>El objeto del contrato fue la instalación de distintos soportes publicitarios en las entradas de las salas VIP de las Terminales 1, 2, 3, 4 y 4S del Aeropuerto Adolfo Suárez Madrid-Barajas.</t>
  </si>
  <si>
    <t xml:space="preserve">Las tareas realizadas incluyeron:
• Redacción de proyecto de instalación
            - Memoria descriptiva
            - Cálculo acometida eléctrica
            - Planos de definición
  </t>
  </si>
  <si>
    <t>Estudio areas pista EAS</t>
  </si>
  <si>
    <t>1.446,26 $</t>
  </si>
  <si>
    <t>Thierry Salvant, Mail: thierry.salvant@airtopsoft.com</t>
  </si>
  <si>
    <t xml:space="preserve">El objeto del estudio se enmarcó dentro del proceso de certificación del Aeropuerto de San Sebastián conforme al Reglamento UE 139/2014. En este sentido, se buscó encontrar una solución respecto de la configuración de pista y sus áreas de protección asociadas que minimizaran el efecto sobre la reducción de la distancia disponible en despegue y aterrizaje. </t>
  </si>
  <si>
    <t>AIRIA realizó un estudio de configuración física de pista y sus áreas asociadas para el cumplimiento de las bases de certificación descritas. Se realizó un análisis técnico y normativo para cumplir con los requisitos exigidos por AESA minimizando la reducción de pista y áreas asociadas.</t>
  </si>
  <si>
    <t>HAPPY MAD 2017</t>
  </si>
  <si>
    <t>Servicios auxiliares para el sistema de encuestas "Happy or Not" del Aeropuerto Adolfo Suárez Madrid-Barajas</t>
  </si>
  <si>
    <t>Agosto 2017</t>
  </si>
  <si>
    <t>83.087,44 $</t>
  </si>
  <si>
    <t>249.262,31 $</t>
  </si>
  <si>
    <t>El objeto del expediente fue la prestación de los servicios auxiliares para apoyar y asistir a los pasajeros que quisieran hacer uso del nuevo sistema para encuestas de calidad "Happy or Not".</t>
  </si>
  <si>
    <t>Las tareas llevadas a cabo fueron las siguientes:
• Invitar y ayudar a los pasajeros para utilizar el sistema automático de calidad "Happy or Not" relativas al servicio de seguridad en los controles del aeropuerto.
• Llevar a cabo un control del estado y la ubicación de los medios materiales asociados a estos controles.
• Realizar entrevistas/encuestas adicionales a los pasajeros según las directrices marcadas por la dirección del expediente.
• Realizar informes diarios con las entrevistas realizadas y remitirlos a los responsables de la División de Seguridad del aeropuerto cuando se estime necesario.
• Informar puntualmente a la división de seguridad y/o al CGA de cualquier incidencia y coordinar su resolución de todo aquello relacionado con el servicio.
• Escuchar e informar a los pasajeros que manifiesten descontento con alguna circunstancia relacionada con el control de seguridad.
• Cumplir las Normas y Manuales de servicio proporcionados por la División de seguridad del aeropuerto.
• Acudir diariamente a una sesión Briefing para tratar todos los temas relacionados con el servicio, a discreción del Director del Expediente.</t>
  </si>
  <si>
    <t>DO nave LKS</t>
  </si>
  <si>
    <t>Servicio de Dirección de Obra de la nave de carga DHL en el Aeropuerto Madrid-Barajas</t>
  </si>
  <si>
    <t>Julio 2018</t>
  </si>
  <si>
    <t>11.347,55 $</t>
  </si>
  <si>
    <t>LKS INGENIERÍA S.COOP</t>
  </si>
  <si>
    <t>Jorge Domínguez, Área de Industria y Energía, Goiru Kalea 7, Polo Innovación Garaia, 20500 Mondragón (Guipuzkoa), Mail: jdominguez@lksgroup.com, Tlf. 609.41.59.21</t>
  </si>
  <si>
    <t>El alcance de la oferta fue la prestación de servicios de Asistencia a la Dirección de Obra durante el plazo de ejecución de la obra, incluyendo la Dirección facultativa, la asistencia a reuniones, la representación ante AENA y la elaboración y seguimiento del PVSO de la supervisión de obra.</t>
  </si>
  <si>
    <t>Los trabajos realizados por AIRIA fueron:
• Análisis aeronáutico del espacio de actuación considerando las posibles afecciones a la operatividad del aeropuerto.
• Análisis de las circunstancias particulares de cada tajo de obra que los departamentos de producción estableecieron para desarrollar las obras, preparación del procedimiento de actuación e integración en el PVSO.
• Instrucción del personal de producción sobre el contenido de los procedimientos y factores generales de seguridad aeronáutica, operación de vehículos y utilización de frecuencias aeronáuticas.
• Adecuación del PVSO a las posibles alteraciones de la operatividad del aeropuerto por motivos funcionales del mismo.</t>
  </si>
  <si>
    <t>JCD Taladro Viga T4</t>
  </si>
  <si>
    <t>Proyecto instalación de accesorio ZARGES para el andamio en pantalla LED</t>
  </si>
  <si>
    <t>434,74 $</t>
  </si>
  <si>
    <t>El objeto del proyecto fue la instalación del accesorio ZARGES para el andamio de la pantalla LED en la Terminal T4 para labores de mantenimiento.</t>
  </si>
  <si>
    <t xml:space="preserve">Las tareas realizadas incluyeron:
• Redacción de proyecto
            - Memoria descriptiva
            - Planos de ubicación
            - Detalles constructivos
  </t>
  </si>
  <si>
    <t>JCD Publicidad hipodromo T4</t>
  </si>
  <si>
    <t>Proyecto instalación publicidad hipódromo T4</t>
  </si>
  <si>
    <t>El objeto del proyecto fue definir la instalación de un stand publicitario en el aeropuerto Adolfo Suárez Madrid-Barajas, concretamente en el Terminal T4, en el hipódromo de llegadas.</t>
  </si>
  <si>
    <t>Diseños Funcionales Aena</t>
  </si>
  <si>
    <t>Asistencia Técnica Elaboración de Estudios de Necesidades y Diseños Funcionales en varios aeropuertos</t>
  </si>
  <si>
    <t>445.890,00 $</t>
  </si>
  <si>
    <t>218.307,74 $</t>
  </si>
  <si>
    <t>Alicia Rojas Dieguez, Departamento de Planes de Desarrollo, División Desarrollo Aeroportuario, Planificación y Control de Inversiones, Servicios Centrales Edificio La Piovera, Calle Peonías, 12, 28042 Madrid, Mail: arojas@aena.es, Tlf. 91.321.10.40</t>
  </si>
  <si>
    <t>El objeto del contrato fue el de prestar los trabajos de ingeniería necesarios para la elaboración y redacción de estudios y documentación relativos a la elaboración de diseños funcionales u otros estudios equivalentes, para la Dirección de Planificación y Medio Ambiente. En el desarrollo de los trabajos se tuvieron en cuenta aspectos como la configuración de los distintos subsistemas aeroportuarios, el tráfico histórico, la programación y previsiones, los sistemas e instalaciones ATM/CNS disponibles, puestos de estacionamiento de aeronaves, elementos y superficies del área terminal de pasajeros, procedimientos, condiciones meteorológicas, restricciones operativas, niveles de servicio, evolución de la tipología de tráfico, etc.</t>
  </si>
  <si>
    <t>El alcance de los trabajos consistió en la elaboración de estudios de necesidades, diseños funcionales, análisis de alternativas, y cualquier otro tipo de estudio relativo al desarrollo aeroportuario. Los servicios prestados incluyeron:
  • Estado Actual
- Análisis y diagnóstico del estado actual del objeto de estudio.
- Detalle de la operativa y funcionamiento de los subsistemas e interrelaciones con el resto de infraestructuras.
- Incidencia de otras inversiones planificadas o en ejecución.
- Parámetros de diseño a adoptar para los distintos subsistemas, que no fueran verificados en anteriores análisis, o que requirieran un reajuste.
- Detección y evolución de los puntos conflictivos existentes.
- Detección de posibles condicionantes arquitectónicos influyentes ante las distintas alternativas de desarrollo.
  • Determinación de necesidades y requisitos
- Definición de horizontes de diseño.
- Realización de la disgregación de la demanda.
- Ajuste de las necesidades detectadas a partir de datos relativos a ocupación de plataforma, curvas de presentación en facturación, pasos en filtros, tiempos de procesos, consumos, etc.
- Desarrollo de cálculos de capacidad y necesidades atendiendo al ADRM.
- Determinación de requisitos y necesidades cualitativas más allá de las determinadas por IATA.
  • Alternativas de desarrollo
- Definición de al menos 3 alternativas de desarrollo viables.
- Realización de una estimación económica de coste para cada una de las alternativas.
  • Valoración y selección de una alternativa
  • Desarrollo en detalle de la solución
  • Faseado de la solución propuesta</t>
  </si>
  <si>
    <t>TFS: 14,5
FUE: 9,3
VGO: 1,4
TFN: 7,7
BIO: 9,5</t>
  </si>
  <si>
    <t>Hay CBE del Diseño Funcional del Edificio Terminal del Aeropuerto de Tenerife Sur</t>
  </si>
  <si>
    <t>AIRIA realizó los siguientes encargos:
- TFS II Terminal
- FUE III Terminal
- VGO IV Terminal
- TFS II Urbanización
- TFN III Terminal
- BIO III Terminal
- BIO III Plataforma
- TFS Estudio Técnico
- IBZ Estudio Técnico</t>
  </si>
  <si>
    <t>JCD Stand AMEX T4</t>
  </si>
  <si>
    <t>Proyecto instalación STAND AMEX T4</t>
  </si>
  <si>
    <t>624,25 $</t>
  </si>
  <si>
    <t>El objeto del contrato fue definir la instalación de un stand publicitario de American Express en el aeropuerto Adolfo Suárez Madrid-Barajas, concretamente en la Terminal T4, frente a las puertas de embarque J54-J55.</t>
  </si>
  <si>
    <t xml:space="preserve">Las tareas realizadas incluyeron:
• Redacción de proyecto
            - Memoria descriptiva
            - Cálculos eléctricos
            - Planos de ubicación
            - Detalles constructivos
  </t>
  </si>
  <si>
    <t>045</t>
  </si>
  <si>
    <t>Proyecto Lona Parking T2</t>
  </si>
  <si>
    <t>El objeto del contrato fue verificar la validez de la estructura que iba a soportar los empujes de una lona publicitaria en uno de los edificios de aparcamiento dentro de las instalaciones del aeropuerto Adolfo Suárez Madrid-Barajas (Terminal T2).</t>
  </si>
  <si>
    <t xml:space="preserve">Las tareas realizadas incluyeron:
• Redacción de proyecto
            - Memoria descriptiva
            - Cálculos estructurales
            - Planos de ubicación
            - Detalles constructivos
  </t>
  </si>
  <si>
    <t>Drag_Plataforma ZAZ</t>
  </si>
  <si>
    <t>Oferta de colaboración en la preparación del concurso de Aena DIN 372/2017 "Ampliación de platafora comercial de aeronaves. Aeropuerto de Zaragoza"</t>
  </si>
  <si>
    <t>6.147,71 $</t>
  </si>
  <si>
    <t>El alcance de la oferta fue la preparación de la documentación técnica para la presentación por parte de DRAGADOS relativa al expediente DIN 372/2017.</t>
  </si>
  <si>
    <t>Los puntos desarrollados por AIRIA en la memoria de la oferta fueron:
• Proceso constructivo
• Mantenimiento de la operatividad aeroportuaria
• Seguridad Operacional
• Materiales/subcontratación
• Programa de trabajo
• Estudio de las mediciones de las unidades del proyecto
• Estudio de las nuevas unidades para ejecutar la obra
• Presentación de alternativas al proyecto encaminadas a la mejora de procesos</t>
  </si>
  <si>
    <t>Drag_ET AGP</t>
  </si>
  <si>
    <t>Oferta de colaboración en la preparación del concurso de Aena DIN 370/2017 "Remodelación Edificio Terminal Picasso en el Aeropuerto de Málaga - Costa del Sol"</t>
  </si>
  <si>
    <t>7.918,33 $</t>
  </si>
  <si>
    <t>El alcance de la oferta fue la preparación de la documentación técnica para la presentación por parte de DRAGADOS relativa al expediente DIN 370/2017.</t>
  </si>
  <si>
    <t>Los puntos desarrollados por AIRIA en la memoria de la oferta fueron:
• Proceso constructivo
• Mantenimiento de la operatividad aeroportuaria
• Seguridad Operacional
• Programa de trabajo
• Estudio de las mediciones de las unidades del proyecto
• Estudio de las nuevas unidades para ejecutar la obra
• Presentación de alternativas al proyecto encaminadas a la mejora de procesos
• Visita de obra</t>
  </si>
  <si>
    <t>050</t>
  </si>
  <si>
    <t>JCD TESLA</t>
  </si>
  <si>
    <t>Proyecto instalación TESLA</t>
  </si>
  <si>
    <t>622,35 $</t>
  </si>
  <si>
    <t>El objeto del documento fue la comprobación de la viabilidad estructural y la legalización de la instalación eléctrica de tipo temporal de alumbrado y fuerza de la instalación de un nuevo stand publicitario en el aeropuerto Adolfo Suárez Madrid-Barajas.</t>
  </si>
  <si>
    <t>051</t>
  </si>
  <si>
    <t>Traslado almacen MAD</t>
  </si>
  <si>
    <t>EA-Servicio de traslado del material almacenado en distintas dependencias del aeropuerto Adolfo Suárez Madrid-Barajas</t>
  </si>
  <si>
    <t>Febrero 2018</t>
  </si>
  <si>
    <t>18.770,62 $</t>
  </si>
  <si>
    <t>Con motivo de cumplir con el Texto Refundido del Manual de Procedimientos de Activos Fijos y tras la proliferación de diversas dependencias en el aeropuerto cuyo fin era almacenar material en desuso, se pretendió realizar un servicio que contemplara el traslado de enseres almacenados para poder conciliar el material con el inventario del aeropuerto.</t>
  </si>
  <si>
    <t>Las tareas contempladas y realizadas fueron las siguientes:
• Transporte, embalaje, desembalaje y recogida del material de embalaje utilizado.
• Montaje y desmontaje de todo tipo de mobiliario dentro del recinto aeroportuario.
• Traslado de todo tipo de enseres a donde designara el Responsable del pedido.
• Reflejo en un documento del número total de trabajos realizados al final de cada jornada laboral.</t>
  </si>
  <si>
    <t>052</t>
  </si>
  <si>
    <t>Datos Patrimoniales MAD</t>
  </si>
  <si>
    <t>Servicio de actualización de datos patrimoniales y creación de desarrollo propio para consulta de activos del aeropuerto Adolfo Suárez Madrid-Barajas</t>
  </si>
  <si>
    <t>Octubre 2020</t>
  </si>
  <si>
    <t>160.389,31 $</t>
  </si>
  <si>
    <t>El expediente tuvo como objetivo la realización de las tareas necesarias para actualizar los datos Patrimoniales del aeropuerto y poder así crear un Desarrollo Propio-GIS de Patrimonio, accesible a través del portal OT. Esta actualización se hizo desde el punto de vista económico-administrativo y técnico.</t>
  </si>
  <si>
    <t>Los trabajos realizados fueron:
• Actualización de los datos Patrimoniales del aeropuerto para crear un desarrollo propio-GIS de Patrimonio de datos disponibles en las distintas áreas o ubicaciones.
• Adaptación, revisión y actualización de la información gráfica DIACAE de áreas, edificios, terrenos e instalaciones del aeropuerto.
• Recopilación y toma de datos in-situ de toda la información necesaria para la actualización de las distintas superficies, terrenos y edificios.
• Adaptación y actualización de la información gráfica y alfanumérica en aplicación SIGRA, incluyendo todas las modificaciones para la puesta al día de dicha información.
• Asesoramiento técnico y supervisión de proceso de carga de datos en SIGRA y otras bases de datos, realización de informes, manuales y documentación necesaria.
• Introducción, registro y comprobación de datos en el sistema SAP.</t>
  </si>
  <si>
    <t>053</t>
  </si>
  <si>
    <t>Formación Guinea</t>
  </si>
  <si>
    <t>Realización de cursos a la Autoridad Aeronáutica de Guinea Ecuatorial</t>
  </si>
  <si>
    <t>Mayo 2018</t>
  </si>
  <si>
    <t>Autoridad Aeronáutica de Guinea Ecuatorial</t>
  </si>
  <si>
    <t>Leovigildo Bikuy Ona, Coordinación Administrativa de la AAGE, Sección Económica, Mail: leo.bikuyona@yahoo.com, Tlf. 00240.222.215.638</t>
  </si>
  <si>
    <t>El objeto del expediente fue la realización de cursos formativos a personal de la Autoridad Aeronáutica de Guinea Ecuatorial.</t>
  </si>
  <si>
    <t>Las tareas desarrolladas (cursos realizados) fueron:
• Curso sobre Gestión del Tránsito Aéreo (ATM) y Comunicaciones-Navegación y Vigilancia (CNS): conceptos generales sobre la gestión del tránsito aéreo y sus servicios, conceptos relativos a las prestaciones operacionales de los sistemas aeronáuticos de CNS, funcionamiento técnico y tendencias futuras.
• Curso sobre cartas aeronáuticas e introducción al diseño de procedimientos instrumentales de vuelo en el área Terminal.
• Curso de Evaluación del Manual de SMS.
• Curso de Diseño de Aeródromos, Helipuertos y Procesos de Autorización.
• Curso de Inspectores de Vigilancia de la Seguridad Operacional de Aeródromos.
• Curso de Evaluación de Pavimentos.</t>
  </si>
  <si>
    <t>51.783,85 $</t>
  </si>
  <si>
    <t>40.605,13 $</t>
  </si>
  <si>
    <t>055</t>
  </si>
  <si>
    <t>TESA Ogensa AGP</t>
  </si>
  <si>
    <t>Servicio TESA en obra AGP</t>
  </si>
  <si>
    <t>10.745,28 $</t>
  </si>
  <si>
    <t>Ogen S.A.</t>
  </si>
  <si>
    <t>Antonio López, Ogen S.A., Mail: antonio-lopez@ogensa.com</t>
  </si>
  <si>
    <t>El objeto del expediente fue la realización del servicio de TESA en el contrato que Ogen, S.A. tenía con AENA.</t>
  </si>
  <si>
    <t xml:space="preserve">Las tareas realizadas por AIRIA fueron:
• Redacción PSO inicial.
• Redacción PSO ajustado a obra y revisiones.
• Servicio de TESA, con emisión de parte de visita, reuniones de seguimiento, y jornada completa nocturna </t>
  </si>
  <si>
    <t>056</t>
  </si>
  <si>
    <t>Drag_SEI SCQ</t>
  </si>
  <si>
    <t>Oferta de colaboración en la preparación del concurso de Aena DIN 479/2017 "Nuevo Edificio SEI. Aeropuerto de Santiago"</t>
  </si>
  <si>
    <t>6.128,17 $</t>
  </si>
  <si>
    <t>El alcance de la oferta fue la preparación de la documentación técnica para la presentación por parte de DRAGADOS relativa al expediente DIN 479/2017.</t>
  </si>
  <si>
    <t>Los puntos desarrollados por AIRIA en la redacción de la oferta fueron:
• Proceso constructivo
• Mantenimiento de la operatividad aeroportuaria
• Seguridad Operacional
• Programa de trabajo
• Estudio de las mediciones de las unidades del proyecto
• Estudio de las nuevas unidades necesarias para ejecutar la obra
• Presentación de alternativas encaminadas a la mejora de procesos</t>
  </si>
  <si>
    <t>057</t>
  </si>
  <si>
    <t>JCD Stand BK PMI</t>
  </si>
  <si>
    <t>Proyecto Eléctrico BK Aeropuerto Palma</t>
  </si>
  <si>
    <t>626,81 $</t>
  </si>
  <si>
    <t>El objeto del proyecto fue definir la instalación eléctrica de un stand publicitario en el aeropuerto de Palma de Mallorca, concretamente en las terminales de pasajeros en la planta de facturación.</t>
  </si>
  <si>
    <t>058</t>
  </si>
  <si>
    <t>Drag_Plata remotos MAD</t>
  </si>
  <si>
    <t>Oferta de colaboración en la preparación del concurso de Aena DIN 472/2017 "Plataforma de remotos T4S. Aeropuerto Adolfo Suárez Madrid-Barajas"</t>
  </si>
  <si>
    <t>4.673,08 $</t>
  </si>
  <si>
    <t>El alcance de la oferta fue la preparación de la documentación técnica para la presentación por parte de DRAGADOS relativa al expediente DIN 472/2017.</t>
  </si>
  <si>
    <t>Los puntos desarrollados por AIRIA en la redacción de la oferta fueron:
• Mantenimiento de la operatividad aeroportuaria
• Seguridad Operacional
• Estudio de las mediciones de las unidades del proyecto
• Estudio de las nuevas unidades necesarias para ejecutar la obra
• Presentación de alternativas encaminadas a la mejora de procesos</t>
  </si>
  <si>
    <t>059</t>
  </si>
  <si>
    <t>JCD EL FARO</t>
  </si>
  <si>
    <t>Proyecto Eléctrico Centro comercial FARO</t>
  </si>
  <si>
    <t>Badajoz</t>
  </si>
  <si>
    <t>4.441,38 $</t>
  </si>
  <si>
    <t>El objeto del proyecto fue la instalación de dos tipos de soportes publicitarios en el centro comercial El Faro, Badajoz. AIRIA llevó a cabo la redacción del proyecto y la Dirección de Obra.</t>
  </si>
  <si>
    <t>Las tareas realizadas por AIRIA fueron:
• Redacción de proyecto:
            - Memoria descriptiva
            - Cálculos eléctricos
            - Planos de ubicación
            - Detalles constructivos
• Dirección de Obra y Coordinació Seguridad y Salud
            - Visita diaria obra
            - Emisión informe final de obra
• Emisión de Certificado Final de Obra</t>
  </si>
  <si>
    <t>060</t>
  </si>
  <si>
    <t>JCD GARBERA</t>
  </si>
  <si>
    <t>Proyecto Eléctrico Centro comercial GARBERA</t>
  </si>
  <si>
    <t>San Sebastián</t>
  </si>
  <si>
    <t>El objeto del proyecto fue la instalación de dos tipos de soportes publicitarios en el centro comercial Garbera, San Sebastián. AIRIA llevó a cabo la redacción del proyecto y la Dirección de Obra.</t>
  </si>
  <si>
    <t>061</t>
  </si>
  <si>
    <t>Estudio Seguridad GC</t>
  </si>
  <si>
    <t>Estudio de Seguridad Aeronáutico Parque Gran Canaria</t>
  </si>
  <si>
    <t>Santa Lucía de Tirajana</t>
  </si>
  <si>
    <t>10.216,97 $</t>
  </si>
  <si>
    <t>SENER</t>
  </si>
  <si>
    <t>Pablo Molina Sánchez, Departamento Aeropuertos/Sección Civil/Madrid, Calle Severo Ochoa 4, Tres Cantos, 28760 Madrid, Mail: pablo.molina@sener.es, Tlf. 91.807.85.97</t>
  </si>
  <si>
    <t>El alcance del contrato fue la realización del estudio de seguridad aeronáutico del Plan Especial del Sistema General de Espacio Libres 6 Parque Urbano del Plan General de Ordenación del Municipio de Santa Lucía.</t>
  </si>
  <si>
    <t>Los servicios/tareas desarrolladas fueron:
FASE I
• Identificación de localizaciones para elementos constructivos planteados en el Plan Parcial del Parque.
• Potencialidad de las ubicaciones identificadas e iteración con el promotor del parque.
• Recepción de datos de alturas de construcción requeridas en plano de localizaciones.
FASE II
• Elaboración del Estudio de Seguridad para la propuesta de Plan Parcial de acuerdo a la guía de AESA.</t>
  </si>
  <si>
    <t>062</t>
  </si>
  <si>
    <t>Proyecto Eléctrico Amex T4</t>
  </si>
  <si>
    <t>El objeto del proyecto fue definir la instalación de un stand de American Express en el aeropuerto Adolfo Suárez Madrid-Barajas, concretamente en la terminal T4, frente a las puertas de embarque J54-J55.</t>
  </si>
  <si>
    <t>063</t>
  </si>
  <si>
    <t>JCD Stand WiZink</t>
  </si>
  <si>
    <t>Proyecto Stand WiZink</t>
  </si>
  <si>
    <t xml:space="preserve">El objeto del proyecto fue definir la instalación eléctrica de un stand publicitario en el aeropuerto Adolfo Suárez Madrid-Barajas, concretamente en la terminal T4 (sala de espera de viajeros en salas 10 y 11). </t>
  </si>
  <si>
    <t>064</t>
  </si>
  <si>
    <t>Seguimiento Ingeniería MAD</t>
  </si>
  <si>
    <t>Servicio de Seguimiento y Supervisión de Expedientes de Ingeniería y Mantenimiento</t>
  </si>
  <si>
    <t>Enero 2019</t>
  </si>
  <si>
    <t>115.175,97 $</t>
  </si>
  <si>
    <t>María Dolores Cobas Cuenca, Directora del Expediente, Terminal 1 - Edificio Unión Planta 2ª, 28042 Madrid, Mail: iym@aena.es, Tlf. 91.393.65.12</t>
  </si>
  <si>
    <t>El objeto del contrato fue el seguimiento y supervisión de distintos expedientes de ingeniería y mantenimiento en el aeropuerto Adolfo Suárez Madrid-Barajas.</t>
  </si>
  <si>
    <t>La relación de servicios realizados fue:
• Edición de expedientes, estudios e informes.
• Digitalización y tratamiento de documentos asociados y cualesquiera otros requeridos por la actividad.
• Supervisión y planificación de Solicitudes de Servicio de acuerdo con los procedimientos e instrucciones técnicas descritas en el sistema de calidad de acuerdo a ISO 9001.
• Tratamiento de tablas en hoja de cálculo, confección de cuadrantes e informes, seguimiento de los mismos y actualización de los datos.
• Tratamiento de bases de datos: Access, introducción de datos, elaboración de formularios, consultas e informes para seguimiento de expedientes.
• Tratamiento de tablas en hojas de cálculo Excel para confección de informes requeridos.
• Manejo de herramientas informáticos, con especial mención a:
              - Máximo
              - SIGA
              - Síntesis
              - Gestor de casos
              - Sharepoint</t>
  </si>
  <si>
    <t>065</t>
  </si>
  <si>
    <t>JCD Stand WiZink T1</t>
  </si>
  <si>
    <t>Proyecto Stand WiZink T1</t>
  </si>
  <si>
    <t>El objeto del proyecto fue definir la instalación de un stand publicitario en el aeropuerto Adolfo Suárez Madrid-Barajas, concretamente en el Terminal T1.</t>
  </si>
  <si>
    <t>066</t>
  </si>
  <si>
    <t>Airtopsoft</t>
  </si>
  <si>
    <t>Oferta de colaboración en la preparación del concurso "SERTOP: Servicios de mantenimiento, consultoría y desarrollo del simulador AirTOP"</t>
  </si>
  <si>
    <t>3.917,55 $</t>
  </si>
  <si>
    <t>El objeto del expediente fue el desarrollo de la documentación, en español, para posterior presentación en relación con la licitación del expediente DNA 343-17.</t>
  </si>
  <si>
    <t>El objeto del expediente fue el desarrollo de la documentación, en español, para posterior presentación en relación con la licitación del expediente DNA 366-16.</t>
  </si>
  <si>
    <t>18</t>
  </si>
  <si>
    <t>Drag_Dique Sur BCN</t>
  </si>
  <si>
    <t>Oferta de colaboración en la preparación del concurso de Aena DIN 571/2017 "Remodelación y ampliación del edificio Dique Sur. Aeropuerto de Barcelona-El Prat"</t>
  </si>
  <si>
    <t>11.081,07 $</t>
  </si>
  <si>
    <t>El alcance de la oferta fue la preparación de la documentación técnica para la presentación por parte de DRAGADOS relativa al expediente DIN 571/2017.</t>
  </si>
  <si>
    <t>Los puntos desarrollados por AIRIA en la redacción de la oferta fueron:
• Proceso constructivo
• Mantenimiento de la operatividad aeroportuaria
• Seguridad Operacional
• Estudio de las mediciones de las unidades del proyecto
• Estudio de las nuevas unidades necesarias para ejecutar la obra
• Presentación de alternativas encaminadas a la mejora de procesos
• Programa de actuaciones medioambientales
• Memoria de Seguridad y Salud
También se incluyó una visita a las instalaciones.</t>
  </si>
  <si>
    <t>JCD Cambio ubicación AMEX T4</t>
  </si>
  <si>
    <t>Proyecto Cambio ubicación Stand AMEX T4</t>
  </si>
  <si>
    <t>436,53 $</t>
  </si>
  <si>
    <t>El objeto del proyecto era cambiar la ubicación de un stand publicitario en la T4 del aeropuerto Adolfo Suárez Madrid-Barajas.</t>
  </si>
  <si>
    <t xml:space="preserve">Las tareas realizadas incluyeron:
• Redacción de proyecto
            - Planos de ubicación
  </t>
  </si>
  <si>
    <t>JCD Cargador VE Asturias</t>
  </si>
  <si>
    <t>Proyecto cargador VE Asturias</t>
  </si>
  <si>
    <t>12 días</t>
  </si>
  <si>
    <t>772,32 $</t>
  </si>
  <si>
    <t>Luis Fernández Castillo, Responsable Técnico Nacional, Departamento de Operaciones, Avenida de Aragón, 328, Polígono Industrial "Las Mercedes", 28022 Madrid, Mail: luis.fernandez@jcdecaux.com, Tlf. 91.832.93.52</t>
  </si>
  <si>
    <t>El objeto del proyecto fue definir la instalación eléctrica de una estación de carga para Vehículo Eléctrico en el aparcamiento público del aeropuerto de Asturias.</t>
  </si>
  <si>
    <t xml:space="preserve">Las tareas realizadas incluyeron:
• Redacción de proyecto
            - Cálculos eléctricos
            - Posibles cálculos estructurales
            - Planos de ubicación
            - Detalles constructivos
  </t>
  </si>
  <si>
    <t>Asesoría Jurídica MAD II</t>
  </si>
  <si>
    <t>Servicio de Normalización de Procesos de Asesoría Jurídica II</t>
  </si>
  <si>
    <t>100.731,40 $</t>
  </si>
  <si>
    <t>María Esther López Alonso, Asesoría Jurídica, Avenida de la Hispanidad s/n, Terminal 2, 5ª Planta, 28042 Madrid, Mail: melalonso@aena.es, Tlf. 91.393.66.25</t>
  </si>
  <si>
    <t>El objeto del servicio fue realizar la gestión de los procesos de siniestros, de retirada de vehículos abandonados en los aparcamientos y aeronaves declaradas en abandono, de reclamaciones de AENA a terceros y de terceros a ésta de carácter contractual y extracontractual, y gestión documental y de archivo en el ámbito de actuación del aeropuerto Adolfo Suárez Madrid-Barajas.</t>
  </si>
  <si>
    <t xml:space="preserve">La relación de servicios realizados fue:
• Gestión y seguimiento del servicio
• Inclusión en base de datos de la distinta documentación que formó parte del Expediente
• Redacción de informes de periodicidad
• Desarrollo de trámites de gestión
• Incorporación y extrapolación de datos
• Gestión y archivo documental
</t>
  </si>
  <si>
    <t>JCD Totem PMI</t>
  </si>
  <si>
    <t>Proyecto Totem PMI</t>
  </si>
  <si>
    <t>El objeto del proyecto fue la instalación de un mupi digital "Totem 80 SS Ivisión" en el aeropuerto de Palma de Mallorca, concretamente en la sala de embarque de la Terminal C.</t>
  </si>
  <si>
    <t>Calidad SEG Aena</t>
  </si>
  <si>
    <t>Servicio Técnico de Control de Calidad de Seguridad Aeroportuaria en los aeropuertos de Aena</t>
  </si>
  <si>
    <t>Junio 2021</t>
  </si>
  <si>
    <t>254.578,07 $</t>
  </si>
  <si>
    <t>Alfonso Horna Gómez, Director del Expediente, Jefe de Departamento de Inspección y Procesos, Calle Peonías, 12, 28042 Madrid, Mail: alhorna@aena.es, Tlf. 670.503.537</t>
  </si>
  <si>
    <t>El objeto del contrato fue el control de calidad en términos de la Seguridad Aeroportuaria en los aeropuertos de Aena.</t>
  </si>
  <si>
    <t>Los servicios desarrollados incluyeron:
• Realización de ensayos de intrusiones
   - Ensayos a los procedimientos de
   verificación de documentación
   - Ensayos de intrusiones de personas.
   Separación de pasajeros
   - Ensayos de introducción de objetos
   prohibidos 
• Realización de ensayos sobre los procedimientos de Seguridad Aeroportuaria
   - Procedimiento de inspección de pasajeros
   - Procedimiento de inspección de personal
   - Procedimiento de autorización de paso a
   ZRS de trabajadores con artículos
   prohibidos
   - Procedimiento de inspección del equipaje
   de mano
   - Procedimiento de inspección del equipaje
   de bodega
   - Procedimiento de inspección de vehículos
   - Procedimiento de inspección de
   suministros
   - Procedimiento de inspección de animales
   vivos
• Inspecciones de la aplicación de los procedimientos de Seguridad Aeroportuaria
• Controles de Calidad del servicio de Seguridad Privada</t>
  </si>
  <si>
    <t>763.734,21 $</t>
  </si>
  <si>
    <t>Sí, hay un CBE del periodo entre febrero de 2018 y enero de 2020.</t>
  </si>
  <si>
    <t>Hubo dos prórrogas del contrato, con un importe exacto al del contrato original. Dicho contrato quedó temporalmente paralizado por el COVID-19, reanudándose en junio de 2020.</t>
  </si>
  <si>
    <t>JCD Stand WZ T2</t>
  </si>
  <si>
    <t>Proyecto Eléctrico Cambio Stand Wizink en salidas de T2</t>
  </si>
  <si>
    <t>El objeto del proyecto fue el desarrollo del cálculo eléctrico de la línea de acometida para la instalación de un stand publicitario en la zona de embarques de la Terminal T2 del aeropuerto Adolfo Suárez Madrid-Barajas.</t>
  </si>
  <si>
    <t xml:space="preserve">Las tareas realizadas incluyeron:
• Redacción de proyecto
            - Cálculos eléctricos
            - Planos de ubicación
            - Detalles constructivos
  </t>
  </si>
  <si>
    <t>JCD Stand Iberia T4</t>
  </si>
  <si>
    <t>Proyecto Stand Iberia Cards T4</t>
  </si>
  <si>
    <t>El objeto del proyecto fue la sustitución e instalación de un stand publicitario de Iberia Cards en el aeropuerto Adolfo Suárez Madrid-Barajas, concretamente frente a la puerta de embarque J45, en la terminal T4.</t>
  </si>
  <si>
    <t>JCD CC MERIDIANO</t>
  </si>
  <si>
    <t>Proyecto Eléctrico Centro comercial Meridiano, DO y CSS - Instalación Mupis Centro comercial Meridiano</t>
  </si>
  <si>
    <t>5.311,08 $</t>
  </si>
  <si>
    <t>El objeto del proyecto fue la instalación de 17 soportes publicitarios en el centro comercial Meridiano en Santa Cruz de Tenerife.</t>
  </si>
  <si>
    <t>Las tareas realizadas incluyeron:
• Redacción de proyecto
            - Cálculos eléctricos
            - Planos de ubicación
            - Detalles constructivos
• Dirección de Obra y Coordinación de Seguridad y Salud
            - Visita diaria obra
            - Emisión informe final de obra
• Certificado final de obra</t>
  </si>
  <si>
    <t>Redacción del PSS Instalación Mupis</t>
  </si>
  <si>
    <t>1.074,53 $</t>
  </si>
  <si>
    <t xml:space="preserve">Las tareas realizadas incluyeron:
• Redacción del Plan de Seguridad y Salud de la obra en base al EBSS contenido en el proyecto
</t>
  </si>
  <si>
    <t>Hubo múltiples modificaciones del contenido del proyecto en octubre y noviembre de 2018.</t>
  </si>
  <si>
    <t>JCD Nissan Leaf</t>
  </si>
  <si>
    <t>Stand Nissan Leaf T4</t>
  </si>
  <si>
    <t>El objeto del proyecto fue la comprobación de la viabilidad estructural de la instalación de un stand publicitario en el aeropuerto Adolfo Suárez Madrid-Barajas.</t>
  </si>
  <si>
    <t>Las tareas realizadas incluyeron:
• Redacción de proyecto
            - Cálculos eléctricos
            - Planos de ubicación
            - Detalles constructivos</t>
  </si>
  <si>
    <t>Cobra Mantenimiento Cairo</t>
  </si>
  <si>
    <t>Colaboración en la licitación "Provision of Integrated Facility Management for Terminal Building No. 3" en el aeropuerto de El Cairo</t>
  </si>
  <si>
    <t>El Cairo</t>
  </si>
  <si>
    <t>4.197,38 $</t>
  </si>
  <si>
    <t>COBRA</t>
  </si>
  <si>
    <t>Ismael Díaz Salvador, COBRA, Mail: ismael.diaz@grupocobra.com</t>
  </si>
  <si>
    <t>El objeto del contrato fue la colaboración en la preparación de la documentación técnica aeronáutica para el concurso descrito.</t>
  </si>
  <si>
    <t>El servicio desarrollado por AIRIA fue la redacción de los siguientes puntos de la oferta:
• Mantenimiento de la operatividad aeroportuaria
• Seguridad Operacional
• Seguridad aeroportuaria
• Apoyo en la definición del Plan de Mantenimiento del edificio terminal</t>
  </si>
  <si>
    <t>JCD Wizink T1 Nuevo diseño-PARADO</t>
  </si>
  <si>
    <t>Stand Wizink T1 Nuevo diseño</t>
  </si>
  <si>
    <t>El objeto del proyecto era definir la instalación eléctrica de un stand publicitario en el aeropuerto Adolfo Suárez Madrid-Barajas, en la terminal T1.</t>
  </si>
  <si>
    <t>Las tareas realizadas incluyeron:
• Redacción de proyecto
            - Planos de ubicación
            - Detalles constructivos</t>
  </si>
  <si>
    <t>0,00 $</t>
  </si>
  <si>
    <t>JC DECAUX decidió paralizar el proyecto ya que optó por montar el mismo stand que en la T4.</t>
  </si>
  <si>
    <t>Ingresos Comerciales INECO</t>
  </si>
  <si>
    <t>Servicio de consultoría especializado para el apoyo al control de ingresos comerciales</t>
  </si>
  <si>
    <t>Mayo 2020</t>
  </si>
  <si>
    <t>39.139,68 $</t>
  </si>
  <si>
    <t>77.820,49 $</t>
  </si>
  <si>
    <t>Elias Dieste Martínez, Responsable del Contrato, Avenida del Partenón, 4-6, 5ª Planta, 28042 Madrid, Mail: elias.dieste@ineco.com, Tlf. 91.452.12.00</t>
  </si>
  <si>
    <t>El proyecto tuvo por objeto todas las actividades y tareas relativas al sistema de control y análisis de diversas unidades de negocio a través de una base de datos y el control de los ingresos, así como en dar soporte a la definición, actualización y mejora de nuevos requisitos funcionales, y de la evaluación de la efectividad de controles de evidencias por parte de los usuarios ejecutores.</t>
  </si>
  <si>
    <t>Entre las actividades que AIRIA desarrolló destacan:
• Soporte funcional a los usuarios. Gestión de usuarios. Revisión de la carga de información en las herramientas
• Seguimiento de los cierres diarios y mensuales. Informes de seguimiento de consolidación y facturación
• Tareas de coordinación con otras áreas
• Soporte funcional en las evoluciones de la herramienta: recopilación de necesidades reportadas por diferentes áreas
• Actualización de procedimientos y elaboración de informes
• Coordinación con el área de informática para la mejora del sistema/incidencias
• Formación y actualización de manuales y procedimientos
• Revisión del grado y el correcto cumplimiento de los controles en la herramienta
• Elaboración de informes de seguimiento</t>
  </si>
  <si>
    <t xml:space="preserve">Hubo una prórroga del contrato firmada el 03 de enero de 2020, ampliando dicho expediente 12 meses más, hasta mayo de 2020. </t>
  </si>
  <si>
    <t>JCD Columna Aspro PMI</t>
  </si>
  <si>
    <t>Proyecto Columna Aspro PMI</t>
  </si>
  <si>
    <t>1.755,06 $</t>
  </si>
  <si>
    <t>CEMUSA</t>
  </si>
  <si>
    <t>El objeto del proyecto fue la instalación de 6 corpóreos columnas con expositores de folletos con 3 monitores cada uno, en la zona de recogida de equipajes del aeropuerto de Palma de Mallorca.</t>
  </si>
  <si>
    <t>JCD Traslado Letrero T1</t>
  </si>
  <si>
    <t>Desplazamiento Letrero 6x1,180 a T1 MAD</t>
  </si>
  <si>
    <t>Juan Rodríguez, Jefe de Servicio Metro y Aeropuerto de Madrid, Avenida de Aragón, 328, Polígono Industrial "Las Mercedes", 28022 Madrid, Mail: juan.rodriguez@jcdecaux.com, Tlf. 629.861.271</t>
  </si>
  <si>
    <t>El objeto del proyecto fue la retirada de un panel luminoso ubicado en la terminal T4 del aeropuerto Adolfo Suárez Madrid-Barajas.</t>
  </si>
  <si>
    <t>JCD Stand Aceite T4</t>
  </si>
  <si>
    <t>Instalación Stand Olive Oils from Spain</t>
  </si>
  <si>
    <t>Fernando Tomé Mayo, Acciones Especiales, Avenida de Aragón, 328, Polígono Industrial "Las Mercedes", 28022 Madrid, Mail: fernando.tome@jcdecaux.com, Tlf. 91.837.41.00</t>
  </si>
  <si>
    <t>Sistemas Seguridad</t>
  </si>
  <si>
    <t>Asistencia Técnica para Instalaciones y Sistemas de Seguridad</t>
  </si>
  <si>
    <t>Octubre 2018</t>
  </si>
  <si>
    <t>65.142,14 $</t>
  </si>
  <si>
    <t>Alejandro Francisco López Fernández, Director del Expediente, Departamento Instalaciones y Sistemas de Seguridad</t>
  </si>
  <si>
    <t>El objeto del expediente fue el desarrollo y consecución de servicios relacionados con la gesrión de proyectos de instalaciones y sistemas de equipamiento de seguridad.</t>
  </si>
  <si>
    <t>Las actuaciones llevadas a cabo fueron las siguientes:
• Replanteo, redacción y seguimiento de Proyectos de despliegues de sistemas integrados de control de accesos y CCTV
• Replanteo, redacción y seguimiento de proyectos de despliegues de sistemas de medición de tiempos, así como de puertas automáticas de acceso a filtros de seguridad
• Replanteo, redacción y seguimiento de proyectos de despliegues de sistemas de detección y vigilancia perimetral
• Replanteo, redacción y seguimiento de proyectos de despliegues de sistemas de control de fronteras
• Elaboración de los Pliegos de Prescripciones Técnicas y demás documentación necesaria para la tramitación de expedientes</t>
  </si>
  <si>
    <t>JCD Stand Palma Aquarium</t>
  </si>
  <si>
    <t>Instalación Stand Palma Aquarium</t>
  </si>
  <si>
    <t>El objeto del proyecto fue la instalación de un stand de Olive Oils From Spain en la terminal T4 del aeropuerto Adolfo Suárez Madrid-Barajas (hall de salidas antes de filtros).</t>
  </si>
  <si>
    <t>El objeto del proyecto eléctrico fue la instalación de un stand de Palma Aquarium en el aeropuerto de Palma de Mallorca, concretamente en la zona de recogida de equipajes de llegadas.</t>
  </si>
  <si>
    <t>JCD Stand Citröen T4</t>
  </si>
  <si>
    <t>Stand Citröen T4</t>
  </si>
  <si>
    <t>Las tareas realizadas incluyeron:
• Redacción de proyecto
            - Cálculos eléctricos
            - Comprobación estructural
            - Planos de ubicación
            - Detalles constructivos</t>
  </si>
  <si>
    <t>Autorización helipuerto HULP</t>
  </si>
  <si>
    <t>Autorización Previa y de Apertura al Tráfico del Helipuerto del HULP</t>
  </si>
  <si>
    <t>Noviembre 2019</t>
  </si>
  <si>
    <t>20.247,58 $</t>
  </si>
  <si>
    <t>Hospital Universitario La Paz</t>
  </si>
  <si>
    <t>Servicio Técnico, Paseo de la Castellana, 261, 28046 Madrid, Mail: sermante.hulp@salud.madrid.org, Tlf. 91.727.71.06</t>
  </si>
  <si>
    <t>El objeto del proyecto se circunscribió a la obtención de la autorización previa y de apertura al tráfico del Helipuerto del Hospital Universitario de La Paz. El alcance de la asistencia técnica incluyó la obtención de la autorización como helipuerto de uso restringido de uso sanitario.</t>
  </si>
  <si>
    <t>Las tareas desarrolladas por AIRIA fueron:
• Redacción y desarrollo de un estudio de compatibilidad de espacio aéreo
• Consecución de documentación administrativa y estudio técnico del helipuerto, incluyendo autorizaciones de podas, compatibilidad urbanística o propuesta de iluminación
• Asistencia y apoyo en la tramitación</t>
  </si>
  <si>
    <t>Capacidad El Alto</t>
  </si>
  <si>
    <t>Estudio de capacidad de pista en el aeropuerto de El Alto</t>
  </si>
  <si>
    <t>El Alto</t>
  </si>
  <si>
    <t>Junio 2018</t>
  </si>
  <si>
    <t>11.500,00 $</t>
  </si>
  <si>
    <t>ECUANOR</t>
  </si>
  <si>
    <t>María Fernando Bravo, ECUANOR, Mail: mbravo@ecuatest.com</t>
  </si>
  <si>
    <t>El objeto del estudio fue determinar de manera teórica la capacidad de pista del Aeropuerto Internacional El Alto en La Paz, Bolivia, expresada en operaciones por hora, para posteriormente evaluar las posibles mejoras para optimizar dicha capacidad.</t>
  </si>
  <si>
    <t>El servicio desarrollado incluyó lo siguiente:
• Cálculo de capacidad de pista en base a la configuración física del área de maniobras y las separaciones ATC
• Optimización de capacidad mediante la optimización del campo de vuelos</t>
  </si>
  <si>
    <t>Drag_Rodadura plata ALC</t>
  </si>
  <si>
    <t>Oferta de colaboración en la preparación del concurso de Aena DIN 176/2018 "Desdoblamiento de rodadura interna de plataforma frente a NAT. Aeropuerto de Alicante-Elche"</t>
  </si>
  <si>
    <t>9.099,91 $</t>
  </si>
  <si>
    <t>El alcance de la oferta fue la preparación de la documentación técnica para la presentación por parte de DRAGADOS relativa al expediente DIN 176/2018.</t>
  </si>
  <si>
    <t>El alcance de las tareas fue la redacción de los siguientes puntos de la oferta:
• Proceso constructivo
• Mantenimiento de la operatividad aeroportuaria
• Seguridad Operacional
• Programa de trabajo
• Estudio de las mediciones de las unidades del proyecto
• Estudio de las nuevas unidades necesarias para ejecutar la obra
• Presentación de alternativas al proyecto encaminadas  a la mejora de procesos
• Programa de actuaciones medioambientales
• Memoria de Seguridad y Salud
También, hubo una visita a las instalaciones del aeropuerto.</t>
  </si>
  <si>
    <t>JCD Luminoso IBZ</t>
  </si>
  <si>
    <t>Instalación luminoso IBZ</t>
  </si>
  <si>
    <t>El objeto del proyecto fue la instalación de un letrero luminoso ubicado en el aeropuerto de Ibiza, concretamente en la puerta de salida de la zona de recogida de equipajes.</t>
  </si>
  <si>
    <t>Patrimonio MAD II</t>
  </si>
  <si>
    <t>Servicio de Mantenimiento, Revisión y Actualización del Inventario de aeropuerto Adolfo Suárez Madrid-Barajas</t>
  </si>
  <si>
    <t>Julio 2020</t>
  </si>
  <si>
    <t>Julio 2022</t>
  </si>
  <si>
    <t>135.144,28 $</t>
  </si>
  <si>
    <t>470.574,59 $</t>
  </si>
  <si>
    <t>Mercedes Alonso Gutiérrez, Director del Expediente, Jefa Departamento Contabilidad y Patrimonio, Mail: mealonso@aena.es, Tlf. 667.197.998</t>
  </si>
  <si>
    <t>El alcance del expediente comprendió la realización de las tareas de mantenimiento, revisión y actualización del inventario de activos fijos del aeropuerto Adolfo Suárez Madrid-Barajas entre los años 2018 y 2022.</t>
  </si>
  <si>
    <t>Las tareas desarrolladas por AIRIA fueron, de manera global, las siguientes:
• Revisión y actualización del inventario del aeropuerto
• Soporte al Departamento de Contabilidad y Patrimonio en la realización de altas, bajas y traslados de activos fijos
• Soporte puntual en las tareas relacionadas con la actualización de Áreas de Patrimonio llevadas a cabo en el Departamento de Contabilidad y Patrimonio
• Otras tareas de apoyo</t>
  </si>
  <si>
    <t>Hubieron dos prórrogas del contrato: la primera en mayo de 2019 y la segunda en enero de 2021. El expediente quedó paralizado temporalmente a raíz del COVID-19 en agosto de 2020, reanudándose en agosto de 2020.</t>
  </si>
  <si>
    <t>DO BCN Integralsa</t>
  </si>
  <si>
    <t>Remodelación Edificio SSEI Norte Aeropuerto de Barcelona-El Prat</t>
  </si>
  <si>
    <t>3.100,46 $</t>
  </si>
  <si>
    <t>INTEGRAL ARCHICONSULT, SL</t>
  </si>
  <si>
    <t>Jordi Segeró, Integral Archiconsult, SL</t>
  </si>
  <si>
    <t>El objeto del proyecto fue la ampliación y reforma del edificio del SSEI Norte del Aeropuerto de Barcelona.</t>
  </si>
  <si>
    <t>Las tareas realizadas incluyeron:
• Redacción de proyecto
            - Colaboración Dirección de Obra</t>
  </si>
  <si>
    <t>JCD Stand Aceite PMI</t>
  </si>
  <si>
    <t>El objeto del proyecto eléctrico fue la instalación de un stand de Olive Oils from Spain en el aeropuerto de Palma de Mallorca, concretamente en la zona de recogida de equipajes.</t>
  </si>
  <si>
    <t>Encuestas Sistemas APM</t>
  </si>
  <si>
    <t>IM-Encuesta 2018 Satisfacción a Pasajeros Usuarios del Sistema de Transporte Automático APM</t>
  </si>
  <si>
    <t>5.255,11 $</t>
  </si>
  <si>
    <t>José Antonio Chimeno Sanz, Jefe Sección APM y Otras Instalaciones, Avenida de la Hispanidad s/n, 28042 Madrid, Mail: jachimeno@aena.es, Tlf. 91.324.32.40</t>
  </si>
  <si>
    <t>El objeto del contrato fue la realización de una encuesta de satisfacción a los pasajeros usuarios del APM que prest servicio entre las terminales T4 y T4S del aeropuerto Adolfo Suárez Madrid-Barajas.</t>
  </si>
  <si>
    <t>Las actividades llevadas a cabo fueron:
• Desarrollo de un modelo de encuesta de satisfacción
• Realización de la encuesta a los usuarios identificados mediante proceso de análisis
• Redacción de informes de la encuesta de satisfacción. Los principales puntos redactados fueron el análisis de la valoración global del APM, el servicio, los tiempos de espera, incidencias y funcionamiento del servicio, el confort de los vehículos, y las dimensiones del servicio</t>
  </si>
  <si>
    <t>JCD Netflix T4</t>
  </si>
  <si>
    <t>Proyecto Espacio Netflix T4</t>
  </si>
  <si>
    <t>El objeto del proyecto eléctrico fue la creación de un espacio Netflix en el aeropuerto Adolfo Suárez Madrid-Barajas, concretamente en el hall de salidas de la terminal T4.</t>
  </si>
  <si>
    <t>Apoyo Planificación Culleredo</t>
  </si>
  <si>
    <t>Asistencia Técnica en materia de Planificación Aeroportuaria</t>
  </si>
  <si>
    <t>12.189,18 $</t>
  </si>
  <si>
    <t>Francisco Javier Varela Tejedor, Jefe del Gabinete Técnico, Ayuntamiento de Culleredo, Mail: javier.varelatejedor@culleredo.es</t>
  </si>
  <si>
    <t>El objeto del contrato fue el asesoramiento al Ayuntamiento de Culleredo respecto a las consecuencias de la planificación futura del aeropuerto de A Coruña.</t>
  </si>
  <si>
    <t>Las tareas realizadas por AIRIA incluyeron:
• Revisión de la integración de datos
• Análisis de coherencia de cálculos: previsión de tráfico, análisis de capacidad, Plan de Necesidades, afección acústica, afección por servidumbres, planteamiento de alternativas, solución propuesta para el desarrollo previsible
• Redacción de informe técnico, interpretación del plan y presentación de los parámetros fundamentales del Plan</t>
  </si>
  <si>
    <t>Existe una carta de desestimiento del contrato de 10.890,00 € el día 27 de julio. Sin embargo, el trabajo se realizó, existiendo entregables del mes de septiembre. No aparece el nuevo contrato.</t>
  </si>
  <si>
    <t>JCD Stand Aceite PMI- II</t>
  </si>
  <si>
    <t>El objeto del proyecto eléctrico fue la instalación de un stand de Olive Oils from Spain en el aeropuerto de Palma de Mallorca, concretamente en la zona comercial del vestíbulo de facturación.</t>
  </si>
  <si>
    <t>Asesoria Planificación El Prat</t>
  </si>
  <si>
    <t>Serveis de consultoria per l'anàlisi de soroll de la pista 07R-25L</t>
  </si>
  <si>
    <t>Julio 2019</t>
  </si>
  <si>
    <t>16.140,31 $</t>
  </si>
  <si>
    <t>Ajuntament del Prat de Llobregat</t>
  </si>
  <si>
    <t>Alberto Magallón, Enginyer Tècnic, Carrer Major, 2-4, 08820 El Prat de Llobregat (Barcelona), Mail: magallon@elprat.cat, Tlf. 93.379.00.50</t>
  </si>
  <si>
    <t>El objeto del contrato fue la realización del estudio de ruido de las operaciones en función del hipotético alargamiento de la pista más cercana al mar.</t>
  </si>
  <si>
    <t>Las actividades desarrolladas fueron:
• Diseño de la configuración de la pista
• Configuración de rutas y aeronaves por pista
• Elaboración del día tipo de cada configuración-escenario
• Desarrollo de simulaciones mediante INM 7.0 de cada configuración en periodos de día, tarde y noche
• Elaboración de planos de huella de ruido y envolvente acústica
• Redacción de informe</t>
  </si>
  <si>
    <t>Informe Aerocas</t>
  </si>
  <si>
    <t>Servicios elaboración de un Informe Técnico para Aeropuertos de Castellón, S.L.</t>
  </si>
  <si>
    <t>12.760,02 $</t>
  </si>
  <si>
    <t>Aeropuerto de Castellón, S.L.</t>
  </si>
  <si>
    <t>El objeto del contrato menor fue la elaboración de un informe técnico que se ajustara a los requerimientos planteados y cuyo contenido constara de:
    - Razonabilidad de los cronogramas de
    horario operativo
    - Viabilidad, desde un punto de vista
    técnico, de que Aerocas asumiera la
    ejecución de la explotación y
    mantenimiento del aeropuerto, obteniendo
    la acreditación como gestor aeroportuario</t>
  </si>
  <si>
    <t>Las tareas realizadas fueron:
• Razonabilidad de los cronogramas de horario operativo, analizando la necesidad de horario de apertura de la instalación
• Informe de validación de la viabilidad técnica para le explotación y mantenimiento del aeropuerto y su acreditación como gestor aeroportuario. Realización de checklist de ítems con el procedimiento a realizar</t>
  </si>
  <si>
    <t>Comedor Vallecas VIRELEC</t>
  </si>
  <si>
    <t>Drag_DF Terminal TFS</t>
  </si>
  <si>
    <t>Oferta de colaboración en la preparación del concurso de Aena DIN 545/2018 "Mejoras Funcionales en el Edificio Terminal según Diseño Funcional. Aeropuerto de Tenerife-Sur"</t>
  </si>
  <si>
    <t>Noviembre 2018</t>
  </si>
  <si>
    <t>12.177,98 $</t>
  </si>
  <si>
    <t>El alcance de la oferta fue la preparación de la documentación técnica para la presentación por parte de DRAGADOS relativa al expediente DIN 545/2018.</t>
  </si>
  <si>
    <t>El alcance de las tareas fue la redacción de los siguientes puntos de la oferta:
• Proceso constructivo
• Mantenimiento de la operatividad aeroportuaria
• Seguridad Operacional
• Programa de trabajo
• Estudio de las mediciones de las unidades del proyecto
• Estudio de las nuevas unidades necesarias para ejecutar la obra
• Presentación de alternativas al proyecto encaminadas  a la mejora de procesos
• Programa de actuaciones medioambientales
• Memoria de Seguridad y Salud</t>
  </si>
  <si>
    <t>19</t>
  </si>
  <si>
    <t>Estudio Financiero M-45</t>
  </si>
  <si>
    <t>Estudio de Reequilibrio Económico-Financiero del Tramo I M-45</t>
  </si>
  <si>
    <t>Sagrada Familia 2019</t>
  </si>
  <si>
    <t>Servicio Técnico de Control, Calidad y Mejora de Niveles de Seguridad de la Basílica de la Sagrada Familia y Servicio de un Auditor de Seguridad</t>
  </si>
  <si>
    <t>Diciembre 2019</t>
  </si>
  <si>
    <t>124.399,00 $</t>
  </si>
  <si>
    <t>El objeto del contrato fue la realización de los siguientes servicios:
• Servicio Técnico de Control, Calidad y Mejora de Niveles de Seguridad de la Basílica de la Sagrada Familia 
• Servicio de un auditor de seguridad</t>
  </si>
  <si>
    <t>Las tareas realizadas por AIRIA fueron:
• Ejecución de ensayos
• Cálculo de indicadores de calidad
• Ejecución de pruebas de sistemas
• Generación de informes mensuales de ensayos
• Generación de informes de pruebas de sistemas
• Generación de otros documentos e informes
• Diseño del servicio a prestar
• Planificación y seguimiento de las actividades
• Gestión de la documentación elaborada</t>
  </si>
  <si>
    <t>India Guwahati</t>
  </si>
  <si>
    <t>Febrero 2019</t>
  </si>
  <si>
    <t>40.000,00 $</t>
  </si>
  <si>
    <t>IOS Partners, Inc.</t>
  </si>
  <si>
    <t>Irina Rabarijohn, Project Coordinator-Project Management, Mail: irabarijohn@iospartners.com, Tlf. +261.320.544.788</t>
  </si>
  <si>
    <t>El objeto del contrato fue el desarrollo de la documentación necesaria para la presentación de la licitación descrita a las autoridades indias.</t>
  </si>
  <si>
    <r>
      <t xml:space="preserve">El alcance de la contratación incluyó la redacción de los siguientes puntos de la oferta:
• </t>
    </r>
    <r>
      <rPr>
        <i/>
        <sz val="11"/>
        <color theme="1"/>
        <rFont val="Swis721 Lt BT"/>
        <family val="2"/>
      </rPr>
      <t>Task 1: Data Collection and Site Visit
• Task 2: Technical Due Diligence
• Task 3: Planning and Design
• Task 4: CAPEX Requirements and Optimization
• Task 5: OPEX Requirements and Optimization</t>
    </r>
  </si>
  <si>
    <t>Oferta de colaboración en la preparación del concurso "Concession for Operations, Management and Development of Lokpriya Gopinath Bordoloi International Airport in Guwahati, India"</t>
  </si>
  <si>
    <t>Letreros MAD</t>
  </si>
  <si>
    <t>Traslado letreros MAD</t>
  </si>
  <si>
    <t>Marzo 2019</t>
  </si>
  <si>
    <t>1.111,55 $</t>
  </si>
  <si>
    <t>Elecnor Deimos</t>
  </si>
  <si>
    <t>Rubén Valenzuela, Ingeniero de Proyecto/Servicios TI, Ronda de Poniente, 19, Portal 2, 1ª Planta - Edificio Fiteni VI, Mail: ruben.valenzuela@deimos-space.com, Tlf. 626.98.02.57</t>
  </si>
  <si>
    <t>El objeto del contrato fue el estudio de la viabilidad del traslado de los teleindicadores correspondientes a los hipódromos 2 y 5 de la marquesina exterior de la Sala 5 y los numerados como 9, 11 y 13 de la marquesina de la Sala 6.</t>
  </si>
  <si>
    <t>Las tareas realizadas fueron las siguientes:
• Visita a obra para toma de datos
• Levantamiento de planos de dos marquesinas
• Cálculo de las marquesinas existentes
• Estudio de la nueva ubicación de los carteles
• Recepción de la hoja de pedido del cliente</t>
  </si>
  <si>
    <t>Frequentis ENAIRE</t>
  </si>
  <si>
    <t>Servicios de colaboración y apoyo en la preparación y presentación del concurso de ENAIRE DNA 362/18 "Suministro en Estado Operativo de un Sistema Centralizada de Información Meteorológica y Aeroportuaria (SCIMAT)"</t>
  </si>
  <si>
    <t>26.010,27 $</t>
  </si>
  <si>
    <t>FREQUENTIS AG</t>
  </si>
  <si>
    <t>Alexander Ronach, Senior Consultant, Frequentis AG, Innovationsstrasse 1, 1100 Vienna, Mail: alexander.ronach@frequentis,com, Tlf. +43.664.60850.1532</t>
  </si>
  <si>
    <t>El alcance de la oferta fue la preparación de la documentación técnica para la presentación por parte de FREQUENTIS relativa al expediente DNA 362/2018.</t>
  </si>
  <si>
    <t>El alcance de la oferta incluyó la redacción de los siguientes puntos:
• Anexo 4: Plan de Seguridad Operacional
• Anexo 5: Planes de ingeniería, instalación y transición
• Anexo 6: Plan de Gestión del Proyecto
• Anexo 7: Estudio de criticidad en los repuestos
• Colaboración en los capítulos 3 y 4 del Sobre 3
• Preparación de los Sobres 1 y 2 (documentación administrativa) y Sobre 4</t>
  </si>
  <si>
    <t>Análisis Culleredo</t>
  </si>
  <si>
    <t>Hangar SASEMAR LCG</t>
  </si>
  <si>
    <t xml:space="preserve">Ampliación Hangar SASEMAR - Aeropuerto de A Coruña </t>
  </si>
  <si>
    <t>Abril 2019</t>
  </si>
  <si>
    <t>Néstor Perales, Jefe de Inspección Aérea, Dirección de Operaciones, Salvamento Marítimo, Mail: nestorpg@sasemar.es, Tlf. 91.755.91.47</t>
  </si>
  <si>
    <t>19.838,39 $</t>
  </si>
  <si>
    <t>Sociedad de Salvamento y Seguridad Marítima</t>
  </si>
  <si>
    <t>El objeto del expediente fue la redacción del proyecto de ampliación del Hangar de helicópteros del Aeropuerto de A Coruña.</t>
  </si>
  <si>
    <t>Las tareas desarrolladas por AIRIA fueron:
• Determinación de la alternativa de ampliación del hangar
• Desarrollo del estudio topográfico de la zona de actuación
• Realización de visitas de toma de datos a la zona objeto del proyecto
• Redacción del proyecto de ejecución de la ampliación, incluyendo la siguiente documentación:
   - Memoria descriptiva y justificativa con
   anejos de cálculo, estudiando la
   adecuación técnica y funcional de la
   propuesta
   - Estudio de Seguridad Operacional
   - Estudio de afección a la operatividad 
   del aeropuerto
   - Planos de estructura, arquitectura e
   instalaciones
   - Pliego de Prescripciones Técnicas
   - Presupuesto</t>
  </si>
  <si>
    <t>JCD Cargador OVD</t>
  </si>
  <si>
    <t>Proyecto cargador VE Asturias 2</t>
  </si>
  <si>
    <t>766,97 $</t>
  </si>
  <si>
    <t>Las tareas realizadas incluyeron:
• Redacción de proyecto
            - Cálculos eléctricos
            - Cálculos estructurales
            - Planos de ubicación
            - Detalles constructivos</t>
  </si>
  <si>
    <t>El objeto del proyecto comprendió el cambio de ubicación de una estación de carga para vehículo eléctrico en el aparcamiento público del aeropuerto de Asturias.</t>
  </si>
  <si>
    <t>Drag_Accesos cabeceras LPA</t>
  </si>
  <si>
    <t>Oferta de colaboración en la preparación del concurso de Aena DIN 106/2019 "Ampliación accesos a cabeceras 03R y 03L. Aeropuerto de Gran Canaria"</t>
  </si>
  <si>
    <t>Las Palmas de Gran Canaria</t>
  </si>
  <si>
    <t>El alcance de la oferta fue la preparación de la documentación técnica para la presentación por parte de DRAGADOS relativa al expediente DIN 106/2019.</t>
  </si>
  <si>
    <t>El alcance de las tareas fue la redacción de los siguientes puntos de la oferta:
• Proceso constructivo
• Mantenimiento de la operatividad aeroportuaria
• Seguridad Operacional
• Programa de trabajo
• Estudio de las mediciones de las unidades del proyecto
• Estudio de las nuevas unidades necesarias para ejecutar la obra
• Presentación de alternativas al proyecto encaminadas  a la mejora de procesos
También se realizó una visita a las instalaciones del aeropuerto.</t>
  </si>
  <si>
    <t>8.114,32 $</t>
  </si>
  <si>
    <t>Revisión PD Huelva</t>
  </si>
  <si>
    <t>Oferta de colaboración en la revisión del Plan Director del Aeropuerto de Huelva</t>
  </si>
  <si>
    <t>5.391,02 $</t>
  </si>
  <si>
    <t>Aeropuerto Cristóbal Colón</t>
  </si>
  <si>
    <t>Alfredo González Quintero, Presidente, Mail: alfredo@lyncis.es</t>
  </si>
  <si>
    <t>Tras la aprobación del RD 1267/2018 de planificación de aeropuertos, se modificó parte de la redacción y tramitación de los Planes Directores Aeroportuarios. Siendo así, el PD redactado en 2015 del nuevo aeropuerto de Huelva tuvo que ser revisado en consonancia con las nuevas disposiciones.</t>
  </si>
  <si>
    <t>El alcance de los servicios fue:
• Actualización de parámetros definitorios
• Revisión infraestructural de los aspectos técnicos según la normativa de certificación de aeropuertos
• Preparación del documento para la incorporación del estudio coste beneficio
• Revisión de la homogeneidad y coordinación de la presentación de datos incluidos en el Plan Director</t>
  </si>
  <si>
    <t>6.224,68 $</t>
  </si>
  <si>
    <t>Tras la aprobación de las prognosis de tráfico desde el ámbito económico-financiero que garantizaba la sostenibilidad de la infraestructura, se precisó recalcular las huellas de ruido por el aumento del tráfico previsto.</t>
  </si>
  <si>
    <t>El alcance de los servicios fue:
• Definición del modelo físico
• Definición de un tipo de Desarrollo Previsible y otro de Máximo Desarrollo
• Definición de los procedimientos aéreos
• Simulación de dos escenarios de tráfico: Desarrollo Previsible y Máximo Desarrollo
• Obtención de las curvas día, tarde, noche y la envolvente de las tres
• Montaje sobre el territorio y actualización de la documentación asociada</t>
  </si>
  <si>
    <t>PD Regional Perú</t>
  </si>
  <si>
    <t>Preparación de documentación para la licitación de aeropuertos regionales del Perú</t>
  </si>
  <si>
    <t>11.115,50 $</t>
  </si>
  <si>
    <t>Tuyen Vovan, División Aeropuertos, Paseo de la Castellana, 130, 6ª Planta, 28046 Madrid, Mail: tvovan@ayesa.com, Tlf. 91.411.96.50</t>
  </si>
  <si>
    <t>El objeto del proyecto fue la preparación de la documentación necesaria para la presentación del concurso de Iniciativas Privadas Cofinanciadas sobre el proyecto de Infraestructuras de Transporte del Tercer Grupo de Aeropuertos</t>
  </si>
  <si>
    <t>Las tareas llevadas a cabo por AIRIA fueron:
• Descripción de la situación actual
• Revisión crítica de las previsiones
• Elaboración de parámetros de diseño, PHD y AHD con la segregación según el tráfico del aeropuerto
• Identificación de necesidades en base a la satisfacción de la demanda prevista
• Identificación de necesidades en base al cumplimiento de OACI y RAP-139
• Identificación de necesidades en base a las obras prioritarias y requerimientos mínimos
• Valoración económica en base a precios unitarios
• Breve justificación de carácter social de las inversiones
• Dibujo de las actuaciones previstas en los horizontes previstos sobre una base de Google</t>
  </si>
  <si>
    <t>Regionales Brasil</t>
  </si>
  <si>
    <t>Servicos de consultoria especializada para estudos do Plano de Exploracao Aeroportária-PEA</t>
  </si>
  <si>
    <t>Sao Paulo</t>
  </si>
  <si>
    <t>7</t>
  </si>
  <si>
    <t>Sebastian Rossiter, Special Projects Manager, Mail: srossiter@iospartners.com, Tlf. +41.762.866.777</t>
  </si>
  <si>
    <t>El objeto del proyecto fue la preparación de la documentación necesaria para los servicios de planificación a nivel de plan director para 10 aeropuertos regionales en el Estado de Sao Paulo.</t>
  </si>
  <si>
    <t>41.314,00 $</t>
  </si>
  <si>
    <t>Los servicios de planificación consistieron en:
• Estudio y diagnóstico de las infraestructuras mediante visitas a las instalaciones de los aeropuertos objeto de estudio y análisis complementarios
• Elaboración de un inventario de las infraestructuras, con el objeto de evaluar el estado actual de las mismas e identificar problemas y hacer un benchmarking para la propuesta de soluciones y optimizar recursos
• Cumplimiento de los requisitos normativos en las instalaciones, tanto internacional como regionales de Brasil
• Estudios de capacidad del campo de vuelos, espacio aéreo y áreas terminales, tanto de la situación actual, como de los horizontes de diseño
• Estudio de alternativas de desarrollo de las infraestructuras aeroportuarias y condicionates de diseño adicionales estbalecidos por el aeropuerto, la orografía del entorno, normativa, servidumbres aeronáuticas y otros aspectos relativos a la operatividad de los aeropuertos
• Configuración de las soluciones propuestas para el desarrollo de las infraestructuras, mediante planos, memoria y estimación económica de las actuaciones
• Realización de simulaciones de curvas de ruido para comprobar los contornos de ruido de las operaciones del aeropuerto de Ribeirao Preto para un horizonte de desarrollo de 2050 y sus impactos en las zonas cercanas al aeropuerto
• Realización del estudio mediante el software del INM desarrollado por la FAA
• Preparación de planes de huella de ruido y envolvente acústica para distintos escenarios de diseño con y sin implantación de medidas mitigadoras y elaboración de un informe conciso de los principales resultados
• Comprobación de normativa urbanística vigente e incidencia de las huellas de ruido en su entorno</t>
  </si>
  <si>
    <t>Drag_Plata T123 MAD</t>
  </si>
  <si>
    <t>Oferta de colaboración en la preparación del concurso de Aena DIN-166/2019 "Ampliación de plataforma de remotos en T123 - Rampa 0. Aeropuerto Adolfo Suárez Madrid-Barajas"</t>
  </si>
  <si>
    <t>Mayo 2019</t>
  </si>
  <si>
    <t>9.903,91 $</t>
  </si>
  <si>
    <t>El alcance de la oferta fue la preparación de la documentación técnica para la presentación por parte de DRAGADOS relativa al expediente DIN 166/2019.</t>
  </si>
  <si>
    <t>JCD MAD Champions</t>
  </si>
  <si>
    <t>1 día</t>
  </si>
  <si>
    <t>Planos PCI T4</t>
  </si>
  <si>
    <t>311,23 $</t>
  </si>
  <si>
    <t>El objeto del contrato fue la realización de unos planos referentes a la instalación de un stand publicitario en el aeropuerto Adolfo Suárez Madrid-Barajas.</t>
  </si>
  <si>
    <t>Las tareas realizadas por AIRIA fueron:
• Elaboración de planos con rutas de evacuación y medidas de extinción de incendios para instalación de stand</t>
  </si>
  <si>
    <t>Stands MAD T123</t>
  </si>
  <si>
    <t>Las tareas realizadas por AIRIA fueron:
• Elaboración de planos con ubicación y dimensiones de stands a instalar</t>
  </si>
  <si>
    <t>Planos PCI T2</t>
  </si>
  <si>
    <t>Las tareas realizadas por AIRIA fueron:
• Elaboración de planos con rutas de evacuación y medidas de extinción de incendios para instalación de stand en T2</t>
  </si>
  <si>
    <t>Mmto Gráfico Aena (G)</t>
  </si>
  <si>
    <t>Servicio de Mantenimiento de la Información Gráfica de la Red de Aeropuertos</t>
  </si>
  <si>
    <t>GesNaer Consulting</t>
  </si>
  <si>
    <t>El objeto del contrato fue el desarrollo de trabajos incluidos en el expediente DIN-624/18.</t>
  </si>
  <si>
    <t>Los trabajos desarrollados fueron:
• Servicio de Ingeniería en Aeropuertos
• Servicio de delineación en aeropuertos
• Servicio de ingeniería en oficina centralizada Canarias
• Servicio de delineación en oficina centralizada Canarias</t>
  </si>
  <si>
    <t>ACCIONA Filipinas</t>
  </si>
  <si>
    <t>NAIA Expansion Project GMP Phase Design Services</t>
  </si>
  <si>
    <t>Filipinas</t>
  </si>
  <si>
    <t>Manila</t>
  </si>
  <si>
    <t>21.725,24 $</t>
  </si>
  <si>
    <t>ACCIONA INGENIERÍA</t>
  </si>
  <si>
    <t>Ana Rodriguez Pando, Arquitectura, Ingeniería, Calle Anabel Segura, 11, Edificio Albatros D, 28108 Alcobendas (Madrid), Mail: Ana.Rodriguez.Pando@acciona.com, Tlf. 91.791.21.21</t>
  </si>
  <si>
    <t>El objeto del contrato fue el desarrollo del plan aeroportuario en lado aire y tierra del Ninoy Aquino International Airport (NAIA), para una capacidad total de 47 MPPA.</t>
  </si>
  <si>
    <t>AIRIA llevó a cabo las siguientes tareas:
• Evaluación de la información disponible y preparación del informe de evaluación de diseño de referencia, e identificación de cuestiones de diseño, huecos, falta de definición y riesgos
• Identificación de posibles optimizaciones y potenciales diseños de alternativas
• Metodología para la estrategia de diseño en base al diseño de referencia, y preparación de presentaciones para los talleres
• Asistencia a talleres</t>
  </si>
  <si>
    <t>Frequentis DNA 119-19</t>
  </si>
  <si>
    <t>Servicios de colaboración y apoyo para la preparación y presentación del concurso de ENAIRE DNA 119/19 "Suministro en estado operativo de Sistemas de Comunicaciones de Último Recurso Voz para los Centros de Control"</t>
  </si>
  <si>
    <t>El alcance de la oferta fue la preparación de la documentación técnica para la presentación por parte de FREQUENTIS relativa al expediente DNA 119/2019.</t>
  </si>
  <si>
    <t>Las tareas realizadas por AIRIA fueron:
• Traducción del inglés al español de la documentación de soporte técnico, preparación de documentos y contenido que satisficieran los requisitos de ENAIRE.
   - Capítulo 1. Características generales
   - Capítulo 2. Características funcionales y
   técnicas
   - Capítulo 3. Logística
   - Capítulo 4. Gestión de suministro
• Apoyo en tareas administrativas</t>
  </si>
  <si>
    <t>55.315,33 $</t>
  </si>
  <si>
    <t>INM Huelva</t>
  </si>
  <si>
    <t>Oferta de colaboración en la elaboración de las curvas de ruido</t>
  </si>
  <si>
    <t>Es una repetición del código 19011 que hace referencia a las curvas de ruido.</t>
  </si>
  <si>
    <t>Pedido Inventario SSCC Aena</t>
  </si>
  <si>
    <t>Revisión y Actualización del Inventario de los Servicios Centrales de Aena SME, S.A.</t>
  </si>
  <si>
    <t>Agosto 2019</t>
  </si>
  <si>
    <t>3</t>
  </si>
  <si>
    <t>12.721,69 $</t>
  </si>
  <si>
    <t>Marcos Palenzuela Criado, Departamento de Contratación Descentralizada, Mail: mpalenzuela@e-externas.aena.es</t>
  </si>
  <si>
    <t>El contrato englobó la revisión y actualización de todos los activos fijos presentes en las distintas instalaciones de Servicios Centrales de Aena S.M.E., S.A.</t>
  </si>
  <si>
    <t>Los trabajos llevados a cabo por AIRIA fueron:
• Actualización de ubicaciones y áreas
• Inventario de activos inmovilizados
• Conciliación entre inventario y registros
• Carga en SAP-AM de resultados de conciliación
• Actualización del Manual de Carga en SAP-AM</t>
  </si>
  <si>
    <t>Encuesta APM II</t>
  </si>
  <si>
    <t>Encuesta 2019 de Satisfacció n a Pasajeros Usuarios del Sistema de Transporte Automático APM</t>
  </si>
  <si>
    <t>4.959,74 $</t>
  </si>
  <si>
    <t>Sagrario Camacho Hernando, División Económico-Administrativa, Avenida de la Hispanidad s/n T2 4ª Planta, 28042 Madrid, Mail: mscamacho@aena.es, Tlf. 91.393.66.26</t>
  </si>
  <si>
    <t>El objeto del contrato fue la realización de una encuesta de satisfacción a los pasajeros usuarios del APM para el mantenimiento de la certificación UNE-EN 13816:2003.</t>
  </si>
  <si>
    <t>Los servicios realizados por AIRIA fueron:
• Realización de encuestas que midieran y analizaran la satisfacción de los pasajeros, detectaran los puntos débiles y fuertes, e identificara las líneas de mejora.
• Emisión de informes de análisis de datos, estadísticas y conclusiones obtenidas.</t>
  </si>
  <si>
    <t>Exterior Plus MAD</t>
  </si>
  <si>
    <t>Instalación de Stand Publicitario Citröen T4</t>
  </si>
  <si>
    <t>1.178,24 $</t>
  </si>
  <si>
    <t>Exterior Plus, S.L.</t>
  </si>
  <si>
    <t>Bárbara Martínez Carrasco, Producción AAEE, Mail: barbara.martinez.ext@groupm.com, Tlf. 91.736.10.00</t>
  </si>
  <si>
    <t xml:space="preserve">El objeto del proyecto fue la comprobación de la viabilidad estructural de la instalación temporal de un stand publicitario en la Terminal T4 del aeropuerto Adolfo Suárez Madrid-Barajas. </t>
  </si>
  <si>
    <t>Las tareas realizadas incluyeron:
• Redacción de proyecto (elaboración de memoria, anejos y planos)
            - Visita a zona de instalación
            - Estado actual del área de ubicación
            - Ubicación del stand y características
            - Cálculos eléctricos
            - Comprobación estructural
            - PCI
            - Seguridad y Salud
            - Presupuesto de la instalación
• Elaboración de PVSO de obra</t>
  </si>
  <si>
    <t>Instalación de Stand Publicitario Toyota</t>
  </si>
  <si>
    <t>Seguimiento de obras de sustitución de elementos publicitarios en el aeropuerto Adolfo Suárez Madrid-Barajas</t>
  </si>
  <si>
    <t>2.995,63 $</t>
  </si>
  <si>
    <t>El objeto del expediente fue el seguimiento de obras de sustitución de elementos publicitarios en el aeropuerto Adolfo Suárez Madrid-Barajas.</t>
  </si>
  <si>
    <t>Las tareas realizadas incluyeron:
• Visita de seguimiento a obra
• Elaboración de informe</t>
  </si>
  <si>
    <t>AD Valdepeñas Skydweller</t>
  </si>
  <si>
    <t>Servicio de consultoría - Fase de tramitación Fase 0 del Aeródromo Manuel Sánchez de Valdepeñas</t>
  </si>
  <si>
    <t>Valdepeñas</t>
  </si>
  <si>
    <t>Febrero 2020</t>
  </si>
  <si>
    <t>Agosto 2020</t>
  </si>
  <si>
    <t>29.344,92 $</t>
  </si>
  <si>
    <t>Skydweller S.L.</t>
  </si>
  <si>
    <t>Sébastien Renouard, COO/CFO Skydweller, Mail: sebastien.renouard@skydweller.aero, Tlf. 648.23.54.63</t>
  </si>
  <si>
    <t>Servicio de consultoría - Aeródromo Manuel Sánchez de Valdepeñas</t>
  </si>
  <si>
    <t>13.783,22 $</t>
  </si>
  <si>
    <t>El estudio respondió al estudio previo de viabilidad realizado para la implantación de una base de montaje, operación y mantenimiento de aeronaves singulares en distintos aeropuertos de la red española.</t>
  </si>
  <si>
    <t>Los servicios realizados incluyeron:
• Fase inicial. Servicio de asesoramiento para la determinación de una solución final:
   - Estudio de la viabilidad de la localización
    propuesta por el cliente para la operación
    del prototipo y la implantación de las
    instalaciones
   - Emisión de una valoración final de la
   solución
   - Resolución de consultas derivadas del
   estudio de viabilidad</t>
  </si>
  <si>
    <t>Una vez definida la solución a adoptar en la Fase 0, se realizaron los trámites necesarios con los organismos para la aprobación.</t>
  </si>
  <si>
    <t>Las tareas realizadas fueron:
• Comunicaciones con AESA
• Elaboración y presentación del Estudio Técnico (descripción de caracteríticas físicas, estudio de obstáculos, definición de ayudas visuales, descripción de sistemas eléctricos, definición y elaboración de procedimientos y servicios del aeródromo, ficha de incumplimientos del aeródromo respecto al RD 1070/15, elaboración de Estudio Aeronáutico de Seguridad)
• Elaboración del Informe de Valoración de la Incidencia Ambiental
• Colaboración en las comunicaciones con otros organismos para la obtención del resto de documentación a presentar ante AESA
• Desarrollo de alegaciones y subsanaciones de documentación</t>
  </si>
  <si>
    <t>Certificación Helipuerto HUPH</t>
  </si>
  <si>
    <t>Consultoría para la autorización previa y de apertura al tráfico del Helipuerto restringido de uso sanitario en el Hospital Universitario de Puerta de Hierro</t>
  </si>
  <si>
    <t>Octubre 2019</t>
  </si>
  <si>
    <t>Enero 2020</t>
  </si>
  <si>
    <t>10.959,88 $</t>
  </si>
  <si>
    <t>Sociedad Concesionaria Hospital Majadahonda S.A.</t>
  </si>
  <si>
    <t>Daniel Santos Beneit, Director Técnico,  Hospital Majadahonda, S.A., Calle Joaquín Rodrigo, 2, 28222 Majadahonda (Madrid), Mail: daniel.santos@hospitalmajadahondasa.es, Tlf. 91.679.93.00</t>
  </si>
  <si>
    <t>El objeto de la oferta fue la contratación de AIRIA como consultor especializado para la autorización previa y de apertura al tráfico del Helipuerto del Hospital Universitario de Puerta de Hierro.</t>
  </si>
  <si>
    <t>Las tareas desarrolladas por AIRIA fueron:
• Desarrollo de Estudio Técnico del helipuerto, Estudio Básico de Seguridad y Salud y planos necesarios
• Asistencia y apoyo en la tramitación</t>
  </si>
  <si>
    <t>Exterior Plus BCN</t>
  </si>
  <si>
    <t>Redacción de proyectos técnicos para elementos publicitarios en el Aeropuerto Josep Tarradellas Barcelona-El Prat</t>
  </si>
  <si>
    <t>18.318,34 $</t>
  </si>
  <si>
    <t>Sistemas e Imagen Publicitaria SLU-Exterior Plus SL UTE</t>
  </si>
  <si>
    <t>Xavier Izquierdo Navarro, Passeig dels Ferrocarrils Catalans, 141, 08940 Cornellà de Llobregat, 08940 Barcelona, Mail: xizquierdo@exteriorplus.es, Tlf. 93.561.07.00</t>
  </si>
  <si>
    <t>El objeto del proyecto fue la sustitución, actualización e instalación de MUPIS, pantallas LED y soportes luminosos en las Terminales T1 y T2 del aeropuerto Josep Tarradellas Barcelona-El Prat.</t>
  </si>
  <si>
    <t>Las tareas que se llevaron a cabo fueron:
• Redacción de Plan de Vigilancia de Seguridad Operacional (PVSO)
• Dirección de Obra y Coordinación de Seguridad y Salud con visita a obra
• Emisión de informe final de obra y Certificado de Obra</t>
  </si>
  <si>
    <t>8.136,55 $</t>
  </si>
  <si>
    <t>El objeto del proyecto fue la sustitución e instalación de pantallas LED en distintas zonas de la Terminal T1 del aeropuerto Josep Tarradellas Barcelona-El Prat.</t>
  </si>
  <si>
    <t>El objeto del proyecto fue el desmontaje de soportes publicitarios en el aeropuerto Josep Tarradellas Barcelona-El Prat.</t>
  </si>
  <si>
    <t>1.311,63 $</t>
  </si>
  <si>
    <t>1.478,36 $</t>
  </si>
  <si>
    <t>El objeto del proyecto fue la sustitución de soportes publicitarios en el aeropuerto Josep Tarradellas Barcelona-El Prat.</t>
  </si>
  <si>
    <t>Las tareas que se llevaron a cabo fueron:
• Redacción de Plan de Vigilancia de Seguridad Operacional (PVSO)
• Dirección de Obra y Coordinación de Seguridad y Salud con visita a obra</t>
  </si>
  <si>
    <t>600,24 $</t>
  </si>
  <si>
    <t>El objeto del proyecto fue la sustitución, actualización e instalación de elementos publicitarios en el aeropuerto Josep Tarradellas Barcelona-El Prat.</t>
  </si>
  <si>
    <t>Las tareas realizadas fueron:
• Emisión de Certificado Final de Obra de tres obras realizadas en la instalación: 
   - Sustitución, actualización y nuevas
   ubicaciones de elementos publicitarios
   - Sustitución e instalación de pantallas y
   luminosos publicitarios
   - Sustitución de elementos publicitarios
   existentes</t>
  </si>
  <si>
    <t>Aeropuertos Cuba</t>
  </si>
  <si>
    <t>Technical Bid Advisory Services for the Concession Process of four airports</t>
  </si>
  <si>
    <t>2</t>
  </si>
  <si>
    <t>290.000,00 $</t>
  </si>
  <si>
    <t>260.000,00 $</t>
  </si>
  <si>
    <t>International Air Transport Association</t>
  </si>
  <si>
    <t>Javier Gonzalez, Senior Manager/Consulting, Mail: gonzalezja@iata.org, Tlf. +1.305.588.0977</t>
  </si>
  <si>
    <t>Se firmó un contrato de subcontratación con IOS Partners de 30.000 USD. Ellos realizaron las tareas relacionadas con las proyecciones de costes operacionales, estimaciones de OPEX y gastos anuales operacionales para cada aeropuerto.</t>
  </si>
  <si>
    <t>El objetivo del contrato fue determinar los requisitos y parámetros de diseño y la realización de recomendaciones para la definición del Plan de Desarrollo del sistema aeroportuario, formado por 4 aeropuertos en Cuba (VRA, SNU, CCC y HOG).</t>
  </si>
  <si>
    <t>Seguridad Aerop MAD</t>
  </si>
  <si>
    <t>Servicio de Asesoramiento Técnico para el desarrollo de actividades de Seguridad Aeroportuaria del Aeropuerto Adolfo Suárez Madrid-Barajas</t>
  </si>
  <si>
    <t>Agosto 2023</t>
  </si>
  <si>
    <t>121.985,94 $</t>
  </si>
  <si>
    <t>266.717,04 $</t>
  </si>
  <si>
    <t>El objeto del expediente fue la prestación de los servicios de asesoramiento técnico durante el período de vigencia en materia de seguridad a la División de Seguridad Aeroportuaria del aeropuerto Adolfo Suárez Madrid-Barajas, con el fin de lograr el correcto desarrollo e implantación de la normativa vigente, la ampliación de los procedimientos, la actualización del Programa de Seguridad del aeropuerto, el apoyo en el seguimiento y control de los Servicios de Seguridad prestados por empresas del sector y otras tareas relacionadas con el cumplimiento de la legislación, la potenciación del Servicio de Seguridad y el control de la eficiencia económica de los servicios de seguridad.</t>
  </si>
  <si>
    <t>Las tareas llevadas a cabo por AIRIA fueron las siguientes:
• Elaboración de borradores técnicos para la redacción de expedientes e informes técnicos relacionados con el Área de Seguridad Aeroportuaria
• Elaboración y preparación de planes de contingencia dentro del ámbito de seguridad privada
• Planificación de trabajos, estudios e informes encomendados, de acuerdo a las necesidades y objetivos fijados por la División de Seguridad Aeroportuaria
• Análisis y evaluación de los sistemas de seguridad y el equipamiento utilizado o a utilizar. Elaboración de informes
• Estudios para la medida del nivel de calidad percibido por los clientes externos, y su posterior seguimiento y conclusiones. Elaboración de informes
• Aportación de conocimientos sobre seguridad aeroportuaria, resolviendo dudas y proponiendo soluciones y mejoras en la implementación, así como su seguimiento
• Análisis de riesgos, tanto en materia de Seguridad Aeroportuaria como en Seguridad Pública. Elaboración de informes
• Asesoramiento para el control y seguimiento del expediente de seguridad. Estandarización de procesos de medida del expediente
• Actualización del Programa de Seguridad del aeropuerto
• Identificación y preparación de tareas a realizar, relacionadas con el Sistema de Control de Accesos del aeropuerto
• Elaboración de tareas de coordinación en materia de seguridad: órdenes de puesto, procedimientos de seguridad, actas de reuniones, etc.
• Realización de estudios previos a la definición de soluciones técnicas necesarias, y al alcance de los trabajos a efectuar por las empresas consultoras e instaladores
• Elaboración de Pliegos de Prescripciones Técnicas y demás documentación necesaria para tareas relacionadas con la Seguridad Aeroportuaria
• Configuración de las características técnicas del equipamiento de seguridad utilizado en el aeropuerto
• Elaboración, control y distribución de planos y documentación necesarios para el correcto desempeño de la actividad de la División de Seguridad Aeroportuaria
• Supervisión del trabajo de las empresas de seguridad privada en los distintos puestos y controles de seguridad establecidos en el aeropuerto. Se examinaron los procedimientos y la ejecución de los términos del contrato
• Asistencia a reuniones con los técnicos del aeropuerto, las empresas consultoras y suministradoras
• Elaboración de la documentación necesaria para la realización de auditorías e inspecciones de seguridad
• Asistencia para el control económico de las actividades generadas por la División de Seguridad Aeroportuaria
• Control de calidad interna del Servicio de Seguridad del aeropuerto
• Informes mensuales de actividad del servicio
• Control y actualización del Sharepoint de la División de Seguridad aeroportuaria en función de las nuevas necesidades
• Gestión y control de los servicios prestados por el aeropuerto en los controles de pasaportes y sistemas ABC
• Elaboracion, actualización, difusión y puesta en marcha de los procedimientos y manuales relacionados con la seguridad como con los controles de pasaportes
• Informes mensuales de:
   - Evolución de indicadores económicos del
   servicio de seguridad. Actuaciones y
   propuestas en el ámbito de la evolución
   económica del servicio de seguridad
   - Evolución de calidad externa, encuestas
   y reclamaciones, del servicio de seguridad.
   Actuaciones y propuestas en el ámbito de
   la calidad externa
   - Evolución de calidad interna del servicio
   de seguridad. Actuaciones y propuestas en
   el ámbito de la calidad interna
   - Adaptación real de la capacidad a la
   demanda. Propuestas de adaptación de
   cara a la mejora de la eficiencia y ahorro en
   el servicio de seguridad
• Estudios y propuestas de adaptación y/o mejoras en:
   - Servicio de seguridad privada en los
   controles de seguridad del aeropuerto
   - Sistema de inspección de seguridad en el
   aeropuerto
   - Servicios de mantenimiento de los equipos
   de inspección del aeropuerto
   - Facilitación y comodidad de cara al
   proceso de seguridad en el aeropuerto</t>
  </si>
  <si>
    <t>Hubo dos prórrogas del contrato: la primera en agosto de 2021 y la segunda, sin modificación de precios, en julio de 2022. También se ha de tener en cuenta que el contrato quedó suspendido temporalmente a raíz del COVID-19.</t>
  </si>
  <si>
    <t>Drag_AT PMI</t>
  </si>
  <si>
    <t>Oferta de colaboración en la preparación del concurso de Aena DIN-492/2019 "Remodelación del Área Terminal del Aeropuerto de Palma de Mallorca. Edificio Procesador y Módulo A"</t>
  </si>
  <si>
    <t>20.241,33 $</t>
  </si>
  <si>
    <t>El alcance de la oferta fue la preparación de la documentación técnica para la presentación por parte de DRAGADOS relativa al expediente DIN 492/2019.</t>
  </si>
  <si>
    <t>El alcance de las tareas fue la redacción de los siguientes puntos de la oferta:
• Proceso constructivo
• Mantenimiento de la operatividad aeroportuaria
• Seguridad Operacional
• Programa de trabajo
• Estudio de las mediciones de las unidades del proyecto
• Estudio de las nuevas unidades necesarias para ejecutar la obra
• Presentación de alternativas al proyecto encaminadas  a la mejora de procesos</t>
  </si>
  <si>
    <t>JCD Desmontaje BCN</t>
  </si>
  <si>
    <t>Proyecto Desmontaje 14 elementos publicitario y acometidas</t>
  </si>
  <si>
    <t>2.061,93 $</t>
  </si>
  <si>
    <t>El objeto del proyecto fue el desmontaje de 14 carteles publicitarios en la zona exterior de la Terminal T2 del aeropuerto de Barcelona.</t>
  </si>
  <si>
    <t>Las tareas realizadas incluyeron:
• Redacción de proyecto
            - Planos de ubicación
            - Presupuesto</t>
  </si>
  <si>
    <t>Estudio Capacidad Myanmar</t>
  </si>
  <si>
    <t xml:space="preserve">Provision of a Capacity Study for Yangon International Airport </t>
  </si>
  <si>
    <t>Myanmar</t>
  </si>
  <si>
    <t>Yangon</t>
  </si>
  <si>
    <t>169.615,00 $</t>
  </si>
  <si>
    <t>P. Molinari, Chief, Procurement Section, Technical Co-operation Bureau, Mail: Vseben@icao.int</t>
  </si>
  <si>
    <t>El objeto del contrato fue la provisión de un estudio de capacidad holístico y completo de la infraestructura del aeródromo (pista de vuelo, calles de rodaje y plataforma), instalaciones, espacio aéreo, procesos y otros subsistemas del aeropuerto internacional de Yangon, además de un inventario, entrevistas, análisis de simulaciones y otros servicios relacionados.</t>
  </si>
  <si>
    <r>
      <t xml:space="preserve">Los servicios llevados a cabo fueron:
• Redacción de informe de inventario e informe de previsión de demanda
   - Recolección de información y
   establecimiento de capacidad de espacio
   aéreo, lado aire, tierra y terminales
   - Análisis de demanda presente
   - Establecimiento de hipótesis de definición
   de los distintos escenarios
   - Modelo base de capacidad y simulaciones
   - Definición de KPI
   - Análisis demanda-capacidad de espacio
   aéreo, lado aire y tierra
   - Establecimiento de periodos pico
   - </t>
    </r>
    <r>
      <rPr>
        <i/>
        <sz val="11"/>
        <color theme="1"/>
        <rFont val="Swis721 Lt BT"/>
        <family val="2"/>
      </rPr>
      <t xml:space="preserve">Gap analysis </t>
    </r>
    <r>
      <rPr>
        <sz val="11"/>
        <color theme="1"/>
        <rFont val="Swis721 Lt BT"/>
        <family val="2"/>
      </rPr>
      <t>para identificar fallos
   - Identificación de áreas o elementos de
   mejora
   - Identificación de las características de
   tráfico
   - Previsión de tráfico de espacio aéreo,
   lado tierra y terminales
• Desarrollo de modelos de simulación por ordenador
• Estudio de capacidad preliminar
   - Análisis de capacidad de futuros
   requisitos para infraestructuras y espacio
   aéreo, usando todos los escenarios posibles
   - Definición de una hoja de ruta para la
   implementación de esquemas de
   facilitación/coordinación, considerando
   el crecimiento de tráfico previsto
   - Identificación de áreas de mejora
   - Efecto de la demanda prevista en los
   horizontes de análisis en los KPI escogidos
   - Modelos de simulación
   - Mejoras y recomendaciones a corto plazo
   para incrementar la capacidad de las
   instalaciones existentes y la estructura de
   espacio aéreo, a través de nuevos
   procedimientos, medidas operacionales,
   adición de infraestructura, etc.
• Estudio final de capacidad
   - Identificación de mejoras operacionales y
   de infraestructura a medio y largo plazo
   junto con KPI y recomendaciones
   - Ratio de previsión de la evolución final
   demanda-capacidad
   - Modelos de simulación
   - Determinación de la capacidad en YIA
   (consideración de mejoras en
   infraestructuras, sistemas y procesos)
   - Recomendaciones a considerar para el
   desarrollo del Plan Maestro y Plan de
   Desarrollo Estratégico en YIA</t>
    </r>
  </si>
  <si>
    <t>IATA WAW-CTH DDFS</t>
  </si>
  <si>
    <t>Preparation of Design Day Flight Schedules (DDFS) for WAW/CTH airports</t>
  </si>
  <si>
    <t>Polonia</t>
  </si>
  <si>
    <t>Gmina Baranów</t>
  </si>
  <si>
    <t>6</t>
  </si>
  <si>
    <t>20.897,14 $</t>
  </si>
  <si>
    <t>El objeto del contrato fue la finalización del caso base de las previsiones secundarias/perfil de día tipo.</t>
  </si>
  <si>
    <r>
      <t xml:space="preserve">Los servicios realizados fueron, principalmente, la creación de calendarios para cada escenario (base, optimista y pesimista) para los años 2030, 2035, 2040, 2045, 2050, 2055 y 2060, usando una metodología </t>
    </r>
    <r>
      <rPr>
        <i/>
        <sz val="11"/>
        <color theme="1"/>
        <rFont val="Swis721 Lt BT"/>
        <family val="2"/>
      </rPr>
      <t>bottom-up</t>
    </r>
    <r>
      <rPr>
        <sz val="11"/>
        <color theme="1"/>
        <rFont val="Swis721 Lt BT"/>
        <family val="2"/>
      </rPr>
      <t>. Los calendarios fueron desarrollados para la trigésima hora pico y para unos calendarios relativos a típicos días con tráfico, cubriendo:
   - Pasajeros
   - Movimientos
   - Previsión de demanda de posiciones de
   estacionamiento</t>
    </r>
  </si>
  <si>
    <t>Damien Zaru, Senior Manager, APCS Consulting, 800 Square Victoria, Montreal H4Z 1M1, Canada, Mail: zarud@iata.org, Tlf. +1.438.258.3205</t>
  </si>
  <si>
    <t>Parking stands requirements for a new Hub Airport in Poland</t>
  </si>
  <si>
    <t>7.225,07 $</t>
  </si>
  <si>
    <t>El objeto del contrato fue el desarrollo de los requisitos relativos a los puestos de estacionamiento del Nuveo Aeropuerto Hub de Varsovia para siete hitos en años y tres escenarios (base, optimista y pesimista), según la demanda de tráfico prevista.</t>
  </si>
  <si>
    <r>
      <t>En particular, se realizaron las siguientes tareas:
- Identificación del día pico en ocupación de puestos de estacionamiento en los años 2016, 2017 y 2018
- Caracterización del perfil de día con tráfico (</t>
    </r>
    <r>
      <rPr>
        <i/>
        <sz val="11"/>
        <color theme="1"/>
        <rFont val="Swis721 Lt BT"/>
        <family val="2"/>
      </rPr>
      <t>busy day</t>
    </r>
    <r>
      <rPr>
        <sz val="11"/>
        <color theme="1"/>
        <rFont val="Swis721 Lt BT"/>
        <family val="2"/>
      </rPr>
      <t>) en los años 2016, 2017 y 2018
- Prever los requerimientos de puestos de estacionamiento en cada uno de los siete años considerados, según el escenario</t>
    </r>
  </si>
  <si>
    <t>Drag_Etec Plataforma MAD</t>
  </si>
  <si>
    <t>Estudio técnico del proyecto: "Plataforma de remotos T4S. Aeropuerto Adolfo Suárez Madrid-Barjas"</t>
  </si>
  <si>
    <t>4.724,09 $</t>
  </si>
  <si>
    <t>Silvia Almela Ortas, Jefe de Estudios, Delegación Madrid y Castilla La Mancha Obra Civil, Cardenal Marceo Spínola, 52, 28016 Madrid, Mail: salmelao@dragados.com, Tlf. 91.384.93.62</t>
  </si>
  <si>
    <t>El objeto del estudio fue el desarrollo de un análisis detallado del Proyecto Constructivo Fase II Licitación del expediente "Plataforma de remotos T4S. Aeropuerto Adolfo Suárez Madrid-Barajas".</t>
  </si>
  <si>
    <t>Las principales tareas realizadas fueron:
• Análisis formal: comprobación de que la información contenida en los distintos documentos era completa y válida, suficiente para la definición de todas las actuaciones propuestas y correcta en cuanto a las características del diseño
• Análisis técnico: comprobación de los criterios de diseño y de la normativa aplicable, en especial, en lo referente a estructuras e instalaciones. También, análisis de posibles mejoras al diseño propuesto en operatividad, seguridad operacional, facilidad de ejecución, coste, etc.
• Análisis de mediciones: estudio de las discrepancias, diferencias e indefiniciones detectadas, en relación con las mediciones aportadas en el presupuesto</t>
  </si>
  <si>
    <t>PHP Total diario: 174.268</t>
  </si>
  <si>
    <t>107 stands requeridos en 2060 en previsión optimista</t>
  </si>
  <si>
    <t>Drag_Hangares Teruel</t>
  </si>
  <si>
    <t>Oferta de colaboración en la preparación de dos concursos del Consorcio de Aeropuertos de Teruel
- Hangar con capacidad de hasta dos A380 en el Aeropuerto de Teruel
- Hangar para pintura en el Aeropuerto de Teruel</t>
  </si>
  <si>
    <t>1</t>
  </si>
  <si>
    <t>2.328,70 $</t>
  </si>
  <si>
    <t>Celina Valera, Arquitecto Técnico, Dirección de Estudios y Desarrollo Internacional, Avenida Camino de Santiago 50, 28050 Madrid, Mail: cvalera@dragados.com, Tlf. 91.703.85.53</t>
  </si>
  <si>
    <t>El alcance de la oferta fue la preparación de la documentación técnica para la presentación por parte de DRAGADOS relativas a dos concursos del Consorcio del Aeropuerto de Teruel.</t>
  </si>
  <si>
    <t xml:space="preserve">El alcance de las tareas fue la redacción de los siguientes puntos de la oferta:
• Seguridad Operacional - Hangar con capacidad de hasta dos A380
• Seguridad Operacional - Hangar para pintura
</t>
  </si>
  <si>
    <t>Drag_Pista PMI</t>
  </si>
  <si>
    <t>Oferta de colaboración en la preparación del concurso de Aena DIN-703/2019 "Regeneración de Pista 06L/24R y Nuevas Calles de Salida Rápida. Aeropuerto de Palma de Mallorca"</t>
  </si>
  <si>
    <t>10.114,63 $</t>
  </si>
  <si>
    <t>El alcance de la oferta fue la preparación de la documentación técnica para la presentación por parte de DRAGADOS relativa al expediente DIN 703/2019.</t>
  </si>
  <si>
    <t>Los servicios desarrollados por el consultor fueron:
• Desarrollo de inventario y realización de visitas técnicas
• Preparación de previsión de tráfico aéreo
• Evaluación de planes de desarrollo
• Preparación de CAPEX clasificado en fases de desarrollo
• Preparación de OPEX clasificado en fases de desarrollo
Los entregables realizados fueron:
- Evaluación de estudio de tráfico
- Plan de desarrollo de infraestructuras
- Plan de mantenimiento de capital</t>
  </si>
  <si>
    <t>El alcance de las tareas fue la redacción de los siguientes puntos de la oferta, además de una visita a la obra:
• Proceso constructivo
• Mantenimiento de la operatividad aeroportuaria
• Seguridad Operacional
• Programa de trabajo
• Estudio de las mediciones de las unidades del proyecto
• Estudio de las nuevas unidades necesarias para ejecutar la obra
• Presentación de alternativas al proyecto encaminadas a la mejora de procesos</t>
  </si>
  <si>
    <t>AECOM_SLO DOHA</t>
  </si>
  <si>
    <t>Western Taxiway and Stand Development Works. Obstacle Limitation Surfaces Assessment</t>
  </si>
  <si>
    <t>Catar</t>
  </si>
  <si>
    <t>Doha</t>
  </si>
  <si>
    <t>AECOM</t>
  </si>
  <si>
    <t>Alicia Regaño, Senior Aviation Engineer, GABL, Mail: alicia.regano@aecom.com, Tlf. 603.75.44.43</t>
  </si>
  <si>
    <t>Con el objeto de cumplir lo especificado en la normativa existente y vigente, el alcance de la oferta incluyó el estudio de seguridad operacional, donde se cumplió con:
• Requisitos normativos
• Análisis de riesgos
• Estudio de Operatividad</t>
  </si>
  <si>
    <t>52.683,15 $</t>
  </si>
  <si>
    <t>Los trabajos a realizar en cada uno de los bloques fueron los siguientes:
• Definición de las Superficies Limitadoras de Obstáculos
• Definición de planos de alturas y cortes
• Diseño geométrico del lado aire
• Redacción de la Memoria de Superficies Limitadoras de Obstáculos
• Revisión del diseño geométrico de la zona de actuación
• Operatividad durante las obras de acuerdo al faseado propuesto
• Estudio de seguridda operacional de las obras de ampliación de plataformas y calles de rodaje
• Tramitación de alegaciones</t>
  </si>
  <si>
    <t>20</t>
  </si>
  <si>
    <t>SASEMAR GEO LCG</t>
  </si>
  <si>
    <t>Estudios previos para proyecto de Ampliación Hangar SASEMAR. Aeropuerto de A Coruña</t>
  </si>
  <si>
    <t>11.671,34 $</t>
  </si>
  <si>
    <t>Ana Sainz de Baranda Graf, Inspección Aérea - Departamento de Operaciones, Edificio M.O.C., Calle Fruela, 3, 28011 Madrid, Mail: anasbg@sasemar.es, Tlf. 91.755.91.58</t>
  </si>
  <si>
    <t>Para el correcto dimensionamiento y diseño de las estructuras previstas, se requirió realizar un estudio previo de las características geotécnicas y topográficas del terreno donde asentar el hangar, así como un estudio de georradar con la finalidad de localizar todas las instalaciones y servicios que pudieran verse afectados durante las obras de forma que pudieran ser contempladas en proyecto.</t>
  </si>
  <si>
    <t>La presente oferta recogió las actuaciones relacionadas a continuación:
• Tramitación de permisos y actuaciones
• Trabajos previos de adecuación de la zona
• Labores de auscultación con georradar y trazador de cables eléctricos, así como la generación de planos de ubicación de los servicios detectados bajo el pavimento
• Estudio geotécnico completo
• Supervisión técnica de todos los trabajos realizados en campo por un equipo de expertos en el sector
• Redacción del informe final de cada uno de los estudios realizados</t>
  </si>
  <si>
    <t>Supervisión Quito</t>
  </si>
  <si>
    <t>Ecuador</t>
  </si>
  <si>
    <t>Quito</t>
  </si>
  <si>
    <t>Mayo 2021</t>
  </si>
  <si>
    <t>2.199.313,21 $</t>
  </si>
  <si>
    <t>541.167,69 $</t>
  </si>
  <si>
    <t>Corporación Quiport S.A.</t>
  </si>
  <si>
    <t>David Martínez, Jefe de Adquisiciones, Quito Airport Center, nivel 2 - Aeropuerto Internacional Marical Sucre - Quito, Mail: david.martinez@quiport.com, Tlf. +5392.395.4260 ext. 2650</t>
  </si>
  <si>
    <t>Fiscalización de los trabajos de construcción para la Ampliación de la Terminal de Pasajeros del Aeropuerto Internacional Mariscal Sucre de Quito (TP11)</t>
  </si>
  <si>
    <t>El objeto del contrato fue la contratación de servicios de fiscalización a fin de que los trabajos que conformaron la ampliación de la Terminal de Pasajeros fueran supervisados y controlados en base a los lineamientos de calidad aprobados por QUIPORT, asegurando el cabal cumplimiento de los Contratos de Construcción, conforme a los términos del contrato.</t>
  </si>
  <si>
    <t>Los servicios desarrollados fueron:
• Asesoramiento a la Gerencia del Contrato de QUIPORT en el cumplimiento del proyecto
• Ejecución de la supervisión técnica de los Contratos de Construcción del Proyecto: coordinación de los trabajos y el control permanente de las obras
• Ejecución del control de calidad del proyecto
• Seguimiento del proceso de comisionado del Proyecto ejecutado por cada uno de los constructores</t>
  </si>
  <si>
    <t>60.000.000 $</t>
  </si>
  <si>
    <t>Se modificó el contrato a raiz de la aparición de la pandemia, interrumpiendo de forma momentánea el contrato. Se reanudaron los trabajos en julio de 2020, interrumpiéndose nuevamente a finales del mismo mes. Se volvió a reiniciar en enero de 2021 hasta el fin del contrato en mayo de 2021.</t>
  </si>
  <si>
    <t>ACCIONA Lima</t>
  </si>
  <si>
    <t>Drag_Pista GRO</t>
  </si>
  <si>
    <t>Oferta de colaboración en la preparación del concurso de Aena DIN-825/2019: "Regeneración del Pavimento en la Pista de Vuelo. Aeropuerto de Girona-Costa Brava"</t>
  </si>
  <si>
    <t>8.964,73 $</t>
  </si>
  <si>
    <t>Celina Valera Juanas, Arquitecto Técnico, Dirección de Estudios, DRAGADOS, Avenida del Camino de Santiago, 50, Edificio 2, Planta 1, 28050, Madrid, Mail: cvalera@dragados.com, Tlf. 91.703.85.53</t>
  </si>
  <si>
    <t>El alcance de la oferta fue la preparación de la documentación técnica para la presentación por parte de DRAGADOS relativa al expediente DIN-825/2019.</t>
  </si>
  <si>
    <t>Se entregó una oferta de revisión y modificación del contenido de la oferta en la Fase II, con un valor de 500 €, en junio de 2020</t>
  </si>
  <si>
    <t>Drag_Pista SPC</t>
  </si>
  <si>
    <t>Oferta de colaboración en la preparación del concurso de Aena DIN-826/2019: "Regeneración Pavimento Pista y Adecuación Franja. Aeropuerto de la Palma"</t>
  </si>
  <si>
    <t>Villa de Mazo</t>
  </si>
  <si>
    <t>9.522,93 $</t>
  </si>
  <si>
    <t>El alcance de la oferta fue la preparación de la documentación técnica para la presentación por parte de DRAGADOS relativa al expediente DIN-826/2019.</t>
  </si>
  <si>
    <t>PVSO Moncobra</t>
  </si>
  <si>
    <t>Redacción de PVSO para la obra "Ejecución de Nave Logística de Correos en Madrid. Oficina de Cambio Importación. Aeropuerto Adolfo Suárez Madrid - Barajas"</t>
  </si>
  <si>
    <t>334,92 $</t>
  </si>
  <si>
    <t>MONCOBRA S.A.</t>
  </si>
  <si>
    <t>Jose Maria Fernandez, Oficina Técnica, Casas de Miravete, 22B, Planta Primera, 28031 Madrid, Mail: jmfernandezm@grupocobra.com, Tlf. 91.327.51.27</t>
  </si>
  <si>
    <t>El alcance de la oferta fue la Redacción del Plan de Vigilancia de Seguridad Operacional (PVSO) de la obra descrita.</t>
  </si>
  <si>
    <t>El servicio realizado fue, esencialmente, la redacción del PVSO, que constó de distintas partes, a saber:
• Datos de seguridad operacional de la obra (descripción de los trabajos, localización, delimitación de tajos de obra, rutas de acceso...)
• Formación de los trabajadores en Seguridad Operacional
• Comunicación, investigación y mitigación de accidentes e incidentes
• Definición de indicadores de Seguridad Operacional
• Control de subcontratas y proveedores
• Gestión de riesgos en fase de obra</t>
  </si>
  <si>
    <t>TESA Correos</t>
  </si>
  <si>
    <t>Realización de trabajos de TESA durante la ejecución de la obra "Ejecución de Nave Logística de Correos en Madrid. Oficina de Cambio Importación. Aeropuerto Adolfo Suárez Madrid-Barajas"</t>
  </si>
  <si>
    <t>6.698,43 $</t>
  </si>
  <si>
    <t>El alcance de la oferta fue la realización y prestación del servicio de TESA para la obra descrita.</t>
  </si>
  <si>
    <t>El servicio realizado incluyó el desarrollo de las siguientes tareas:
• Realización de visitas de inspección con el fin de vigilar el cumplimiento de los requerimientos en materia de Seguridad Operacional establecidos en el PVSO de la obra
• Redacción y emisión de partes derivadas de las visitas
• Asistencia a reuniones cuyo contenido afectara a la Seguridad operacional</t>
  </si>
  <si>
    <t>JCD Acabados BCN</t>
  </si>
  <si>
    <t>Proyecto de adecuación de acabados en P30 del Terminal T1 del Aeropuerto Josep Tarradellas Barcelona-El Prat</t>
  </si>
  <si>
    <t>1.462,49 $</t>
  </si>
  <si>
    <t>El alcance de la oferta fue la adecuación de acabados de paramentos verticales y solado en la planta P30 del Terminal 1, tras el desmontaje de 3 elementos publicitarios en el Aeropuerto Josep Tarradellas Barcelona-El Prat.</t>
  </si>
  <si>
    <t>El contrato incluyó la realización de las siguientes actividades:
• Redacción de proyecto de ejecución de acuerdo a la "Guía de tramitación - Proyecto y obra privativa de locales comerciales" de AENA y requerimientos propios del aeropuerto
• Elaboración de Coordinación de Actividades Empresariales (CAE)
• Coordinación de Seguridad y Salud de la obra de reforma y Aprobación del Plan de Seguridad y Salud. Realización de una visita a obra en horario nocturno</t>
  </si>
  <si>
    <t>223,28 $</t>
  </si>
  <si>
    <t>El contrato incluyó la realización de las siguientes actividades:
• Dirección de Obra del proyecto
• Asume de las obras por técnico competente, que realizó la Dirección Facultativa de las obras de reforma
• Realización de una visita a obra en horario nocturno
• Certificado final de obra CFO</t>
  </si>
  <si>
    <t>ObraTEX_Urb Burgos</t>
  </si>
  <si>
    <t>Oferta de colaboración en la preparación del concurso de Centro de Transportes Aduana de Burgos: "Ejecución de las obras recogidas en el Proyecto de Urbanización del Centro Intermodal en Desarrollo del Plan Especial del Sistema General Aeroportuario de Burgos"</t>
  </si>
  <si>
    <t>7.814,83 $</t>
  </si>
  <si>
    <t>Obras y Servicios TEX (OBRATEX)</t>
  </si>
  <si>
    <t>Joseba Gandarias Ortuzar, Oficina Técnica</t>
  </si>
  <si>
    <t>El alcance de la oferta fue la preparación de la documentación técnica para la presentación por parte de OBRATEX relativa al expediente descrito.</t>
  </si>
  <si>
    <t>El alcance de las tareas fue la redacción de los siguientes puntos de la oferta, además de una visita a la obra:
• Memoria descriptiva del proceso de ejecución
• Estudio del movimiento de tierras y formación de la explanada
• Programa de trabajos y plazo de ejecución</t>
  </si>
  <si>
    <t>IMAZU</t>
  </si>
  <si>
    <t>Instalación de mástil 25 m en Valdebebas</t>
  </si>
  <si>
    <t>Noviembre 2020</t>
  </si>
  <si>
    <t>14.169,84 $</t>
  </si>
  <si>
    <t>Junta de Compensación Parque Valdebebas</t>
  </si>
  <si>
    <t>Antonio Menaya Macías, Director Técnico, Mail: amenaya@valdebebas.es, Tlf. 91.343.08.72</t>
  </si>
  <si>
    <t>El objeto del proyecto fue la instalación de un mástil de 25 metros de altura en Valdebebas referente a la incorporación de un elemento de acero inoxidable. El proyecto incluyó el montaje del mástil y la propia instalación eléctrica para dar servicio a la motorización del mismo.</t>
  </si>
  <si>
    <t>El contrato incluyó la redacción de documentación técnica para la ejecución de la obra, incluyendo:
• Memoria y planos de definición
• Cálculo eléctrico
• Cálculo estructural
• Estudio Básico de Seguridad y Salud
• Características de los materiales
• Presupuesto de ejecución material
La relación aproximada de los trabajos a realizar fue:
• Movimiento de tierras
• Demoliciones y desmontaje del pavimento existente
• Apertura de hueco para cimentación
• Apertura de zanja para instalación eléctrica
• Zapata de cimentación
• Recibido/atornillado placa de anclaje del mástil según documentación
• Montaje del mástil, según las especificaciones de la ficha técnica y manual de instalación
• Instalación eléctrica para dar servicio a la motorización del mástil y puesta a tierra
• Reposición de elementos levantados
• Gestión de residuos
Dirección de obra y Coordinación de Seguridad y Salud:
• Visitas a obra
• Emisión informe final de obra
• Certificado Final de Obra
Gestiones con AESA para la obtención de la autorización</t>
  </si>
  <si>
    <t>PEGASUS_Certificación Matilla</t>
  </si>
  <si>
    <t>Estudio técnico para la certificación del aeródromo de uso restringido de Matilla de Los Caños, en la provincia de Valladolid</t>
  </si>
  <si>
    <t>Matilla de Los Caños</t>
  </si>
  <si>
    <t>Septiembre 2021</t>
  </si>
  <si>
    <t>9.266,16 $</t>
  </si>
  <si>
    <t>PEGASUS AVIACIÓN</t>
  </si>
  <si>
    <t>David Mata, Director MRO, Dirección Ejecutiva de Flota, Mail: dmata@pegasusaviacion.com, Tlf. 957.710.460</t>
  </si>
  <si>
    <t>El objeto del contrato fue proceder a la revisión de todas las infraestructuras existentes en el aeródromo, así como su adecuacióna a la normativa. Eso requería de la aprobación de un Estudio Técnico, que tuviera como objetivo presentar el estado de las infraestructuras y los servicios prestados para que AESA pudiera verificar que las operaciones se pudieran realizar con normalidad.</t>
  </si>
  <si>
    <t>Los servicios realizados incluyeron:
• Redacción de un Estudio Técnico para la certificación del Aeródromo de Matilla de Los Caños con el objetivo de regularizar su situación
• Redacción de un Estudio ambiental relativo a las modificaciones del proyecto
• Desarrollo y entrega de las solicitudes pertinentes ante AESA</t>
  </si>
  <si>
    <t>Se produjeron solicitudes a AESA en el año 2022 correspondientes a las fases 2 y 3 para la autorización de establecimiento de Hangar y Plataforma en el Aeródromo de La Matilla.</t>
  </si>
  <si>
    <t>IATA_Capacidad LIM</t>
  </si>
  <si>
    <t>Prestación de un estudio de evaluación de capacidad en el edificio terminal y puestos de estacionamiento de aeronaves en el Aeropuerto Internacional Jorge Chávez, en Lima, Perú</t>
  </si>
  <si>
    <t>Lima</t>
  </si>
  <si>
    <t>Septiembre 2020</t>
  </si>
  <si>
    <t>44.000,00 $</t>
  </si>
  <si>
    <t>Laurent Delarue, Director, IATA Consulting, Mail: delaruel@iata.org</t>
  </si>
  <si>
    <t>El objeto de estudio del contrato fue proporcionar servicios de consultoría relativos al proyecto: "Estudio de evaluación de Capacidad y Niveles de Servicio en el edificio terminal del Aeropuerto Internacional Jorge Chávez.</t>
  </si>
  <si>
    <t xml:space="preserve">Los servicios proporcionados por AIRIA incluyeron cuatro etapas, además de la realización de un informe final, una presentación de Powerpoint y un archivo Excel con la capacidad declarada.
• Fase 1. Recopilación de datos y evaluación de información
     - Tarea 1. Identificación de necesidades
     de información
     - Tarea 2. Mobilización de miembros del
     equipo
     - Tarea 3. Demanda de inputs/información
     (layouts, tráfico, información operacional)
     - Tarea 4. Revisión de información
     proporcionada por LAP
     - Tarea 5. Preparación de lista con
     requisitos de información
• Fase 2. Calibración de modelo
     - Tarea 1. Revisión de información y
     discusiones con LAP
     - Tarea 2. Familiarización con edificio
     terminal
     - Tarea 3. Preparación y calibración de
     modelo
     - Tarea 4. Meeting con LAP para discutir
     primeros resultados iniciales
• Fase 3. Análisis de capacidad de terminal y puestos de estacionamiento, y LoS
      - Tarea 1. Determinación de KPI de LoS
      de forma cuantitativa
      - Tarea 2. Determinación de categoría LoS
      para cada subsistema
      - Tarea 3. Análisis de escenarios
      post-COVID, considerando regulaciones
      y requisitos
      - Tarea 4. Análisis de requisitos
      específicos regulados por las autoridades
      civiles de aviación (distanciamiento,
      medidas sanitarias, etc.)
• Fase 4. Finalización de estudio
      - Tarea 1. Resumen de resultados,
      mostrando capacidades y LoS de los
      subsistemas del terminal y puestos de
      estacionamiento
      - Tarea 2. Preparación de informe final de
      estudio
      - Tarea 3. Presentación del estudio final a
      LAP y demás partes interesadas
     </t>
  </si>
  <si>
    <t>3.066 pasajeros PHP de capacidad</t>
  </si>
  <si>
    <t>Peritaje Simulador Bell</t>
  </si>
  <si>
    <t>Estudio de mercado detallado de un simulador para entrenamiento en vuelo del helicóptero Bell 412</t>
  </si>
  <si>
    <t>8.484,68 $</t>
  </si>
  <si>
    <t>Fundación CITIC</t>
  </si>
  <si>
    <t>Alberto Villena, Economista, NUPROFIN ECONOMISTAS Y ASESORES, Plaza Uncibay nº3, Planta U, Oficina 5, 29008 Málaga, Mail: alberto.villena@nuprofin.com, Tlf. 952.220.219</t>
  </si>
  <si>
    <t>El estudio tuvo como objetivo analizar el valor en el mercado del simulador para entrenamiento en vuelo del helicóptero BELL 412, asociado al Proyecto SEILAF (Sistema de Entrenamiento Integrado en Lucha Anti-Incendio).</t>
  </si>
  <si>
    <t>Se realizó un estudio detallado del mercado, considerando análisis más ajustados del sistema según la demanda real y la identificación de otros factores que influyeran sobre el precio de venta del simulador (número de horas obligatorias para los pilotos, número de pilotos registrados en el BELL 412, costes de mantenimiento y otros operativos (OPEX), etc. Los estudios se reflejaron en un informe técnico, entregado tras la obtención de unas conclusiones y la verificación con el Cliente de los datos más sensibles que interfirieron en la valoración realizada.</t>
  </si>
  <si>
    <t>Hangar Gijón  SASEMAR</t>
  </si>
  <si>
    <t>Proyecto de remodelación del hangar de Salvamento Marítimo en El Musel, Gijón</t>
  </si>
  <si>
    <t>Gijón</t>
  </si>
  <si>
    <t>Julio 2021</t>
  </si>
  <si>
    <t>19.925,04 $</t>
  </si>
  <si>
    <t>El objeto del contrato fue la redacción del Proyecto descrito con el objetivo de constituir la documentación que sirvió como base para llevar a cabo el proceso de licitación y contratación de las obras contempladas, así como su ejecución.</t>
  </si>
  <si>
    <t>El contrato incluyó la redacción del proyecto de ejecución de la remodelación, incluyendo la siguiente documentación:
• Memoria justificativa de las soluciones adoptadas, incidiendo en el análisis de los factores, procesos y condiciones de diseño, funcionales, técnicas y económicas, así como el análisis de las interacciones con el resto de las instalaciones del entorno. Se recogieron aspectos generales de la obra y de la justificación de las soluciones concretas:
     - Interiorismo
     - Iluminación
     - Instalación eléctrica
     - Climatización
     - Ventilación mecánica
     - Fontanería y saneamiento
     - Protección contra incendios
• Representación gráfica del proyecto con todos los detalles necesarios para su ejecución
• Pliego de condiciones técnicas, generales y particulares
• Estado de mediciones
• Presupuestos obtenidos por aplicación de precios unitarios de obra</t>
  </si>
  <si>
    <t>DFO ELECNOR</t>
  </si>
  <si>
    <t>DFO Obras Menores en locales del Aeropuerto Adolfo Suárez Madrid-Barajas</t>
  </si>
  <si>
    <t>ELECNOR</t>
  </si>
  <si>
    <t>Javier Sevillano, Jefe Obra CP 149 Montajes, Delegación de Instalaciones, Calle Maestro Alonso, 21, 2ª Planta, 28028 Madrid, Mail: jsevillano@elecnor.com, Tlf. 608.057.163</t>
  </si>
  <si>
    <t>El objeto del contrato fue la realización de planos DIACAE para DFO en la obra DIN 43/2019 "Sustitución de Equipos Clima Parking P4".</t>
  </si>
  <si>
    <t>El servicio realizado fue la delineación en formato DIACAE de documentación aportada perteneciente a Documentación Final de Obra:
• Realización de planos en formato DIACAE v.9 de "Detalles de Salida a cubierta"</t>
  </si>
  <si>
    <t>DFO DIN-43/2019 "Cambio Sistema VRV Salas de Equipos Párking P4 en el Aeropuerto Adolfo Suárez Madrid-Barajas"</t>
  </si>
  <si>
    <t>1.071,75 $</t>
  </si>
  <si>
    <t>El objeto del contrato fue la recopilación de información, revisión y montaje de Documentación Final de Obra correspondiente al expediente DIN 43/2019 "Cambio Sistema VRV Salas de Equipos Párking P4 en el Aeropuerto Adolfo Suárez Madrid-Barajas".</t>
  </si>
  <si>
    <t xml:space="preserve">El principal servicio realizado por AIRIA fue la consecución de la siguiente documentación:
• Documentación General
     - Memoria "As Built"
     - Planos en formato DIACAE de 
     localización y detalle, esquemas unifilares
     y punto de conexión de las instalaciones
     - Acta de fin de obra firmada por la
     Dirección de Obra y el contratista
     - Planos en formato AUTOCAD de estado
     inicial y reformado y demoliciones y
     desmontajes
     - Informe fotográfico del estado reformado
• Documentación legal
     - Proyecto "As Built"
     - Plan de Gestión de Residuos de la
     Construcción o Demolición
     - Certificados de las legalizaciones
     pertinentes
     - Inclusión de pruebas de integración de
     las instalaciones y Certificados de
     calibración para las pruebas
     - Inclusión del Boletín eléctrico, OCA y
     Número de contador
  </t>
  </si>
  <si>
    <t>Facturación MAD 2020</t>
  </si>
  <si>
    <t>Servicio de Análisis, Tratamiento, Seguimiento y Control de Actuaciones en Áreas de Facturación, Tesorería, Tributos, Contratación y Gestión de Activos</t>
  </si>
  <si>
    <t>Octubre 2023</t>
  </si>
  <si>
    <t>221.048,19 $</t>
  </si>
  <si>
    <t>663.144,57 $</t>
  </si>
  <si>
    <t>Cecilio Raúl Sánchez Sánchez, Jefe Departamento Facturación, Cobros y Pagos, Avenida de la Hispanidad s/n, Terminal 2 - 4ª Planta, 28042 Madrid, Mail: cssanchez@aena.es, Tlf. 91.393.65.61</t>
  </si>
  <si>
    <t>El objeto del expediente fue la realización de los servicios relativos al análisis, tratamiento, seguimiento y control de actuaciones en las áreas de facturación, tesorería, tributos, contratación y gestión de activos en el Aeropuerto Adolfo Suárez Madrid-Barajas.</t>
  </si>
  <si>
    <t xml:space="preserve">Los servicios desarrollados por AIRIA fueron:
• Gestión documental
• Análisis de aplicaciones, procedimientos e información de los sistemas que afectaban a la facturación, contratación, gestión de activos, tratamiento de datos, seguimiento, control y presentación de tributos e impuestos locales
</t>
  </si>
  <si>
    <t>El contrato fue prorrogado dos veces: la primera en octubre de 2021 y la segunda en octubre de 2022. Ambas prórrogas tuvieron un importe de 198.000,00 €.</t>
  </si>
  <si>
    <t>Est prev Gijón SASEMAR</t>
  </si>
  <si>
    <t>Estudio previo proyecto remodelación hangar de helicópteros de Gijón</t>
  </si>
  <si>
    <t>Diciembre 2020</t>
  </si>
  <si>
    <t>Enero 2021</t>
  </si>
  <si>
    <t>17.412,46 $</t>
  </si>
  <si>
    <t>Para el correcto dimensionamiento de las estructuras previstas en el proyecto "Remodelación del Hangar SASEMAR en el Puerto de Gijón", se requirió un estudio previo de las características geotécnicas del terreno donde iba a asentarse el hangar, así como un estudio de georradar con la finalidad de localizar todas las instalaciones y servicios que pudieran verse afectados durante las obras, siendo contemplados en el proyecto.</t>
  </si>
  <si>
    <t>Las actuaciones y servicios llevados a cabo fueron:
• Trabajos previos de adecuación de la zona donde se realizó el correspondiente estudio del terreno y georradar
• Labores de auscultación con georradar sobre 2.550 metros cuadrados de superficie aproximada, mediante la determinación de perfiles transversales
• Estudio geotécnico completo (tres sondeos mecánicos a rotación, ensayos de penetración estándar, medición de la posición del nivel freático, ensayos de laboratorio para la obtención de los datos característicos del terreno a efectos de diseño de la cimentación
• Supervisión técnica de todos los trabajos realizados en campo
• Redacción del informe final de cada uno de los estudios realizados, así como de aquella documentación complementaria necesaria</t>
  </si>
  <si>
    <t>DFO Eq Torre 6 ELECNOR</t>
  </si>
  <si>
    <t>DIACAE SUST_EQUIPOS TORRE 6. Aeropuerto Adolfo Suárez Madrid-Barajas</t>
  </si>
  <si>
    <t>245,61 $</t>
  </si>
  <si>
    <t>El objeto del contrato fue la realización de planos DIACAE v.11 para DFO en la obra MAD 229/19 "Instalación de Nuevo Sistema de Climatización en los Cuartos Técnicos de la Planta 6ª de la Torre Sur" (Plantas 6 y 7).</t>
  </si>
  <si>
    <t>El servicio realizado fue la delineación en formato DIACAE de documentación aportada perteneciente a Documentación Final de Obra:
• Realización de planos en formato DIACAE v.11 de "Plantas 6 y 7"</t>
  </si>
  <si>
    <t>Febrero 2021</t>
  </si>
  <si>
    <t>1.027,09 $</t>
  </si>
  <si>
    <t>El objeto del contrato fue la recopilación de información, revisión y montaje de Documentación Final de Obra correspondiente al expediente MAD 229/2019 "Instalación de Nuevo Sistema de Climatización en los Cuartos Técnicos de la Planta 6ª de la Torre Sur".</t>
  </si>
  <si>
    <t>Servidumbres LCG</t>
  </si>
  <si>
    <t>Asesoramiento técnico durante el periodo de alegaciones para la modificación de las servidumbres aeronáuticas del aeropuerto de A Coruña</t>
  </si>
  <si>
    <t>3.215,25 $</t>
  </si>
  <si>
    <t>Concello de Culleredo</t>
  </si>
  <si>
    <t>Alberto Fernández-Pacheco Pascual, Arquitecto, Mail: fernandezpacheco@gmail.com, Tlf. 91.350.20.21</t>
  </si>
  <si>
    <t>El objeto del contrato fue proporcionar el apoyo al equipo que estuvo estudiando la documentación publicada relativa a la modificación de las servidumbres aeronáuticas del aeropuerto de A Coruña. Asimismo, se desarrolló parte de la documentación técnica complementaria a las alegaciones.</t>
  </si>
  <si>
    <t>Los servicios desarrollados fueron:
• Apoyo con asesoramiento en materia de planificación aeroportuaria y seguridad operacional
• Desarrollo del Estudio de las afecciones generadas sobre el término municipal del Aeropuerto de A Coruña
• Análisis de la afección a los diferentes barrios o parroquias de Culleredo generadas por la nueva modificación y la integración sobre el Plano de Ordenación del municipio
• Desarrollo de Estudio de viabilidad sobre la posibilidad de proponer cambios a la modificación de las servidumbres aeronáuticas
• Planos que ayudaran a entender la propuesta de alegaciones</t>
  </si>
  <si>
    <t>SAFA 2021</t>
  </si>
  <si>
    <t>Servicio Técnico de Control, Calidad y Mejora de Niveles de Seguridad de la Basílica de la Sagrada Familia 2021</t>
  </si>
  <si>
    <t>Diciembre 2021</t>
  </si>
  <si>
    <t>93.603,86 $</t>
  </si>
  <si>
    <t>ObraTex_SIEPSE</t>
  </si>
  <si>
    <t>Oferta de colaboración en la preparación del concurso de Sociedad de Infraestructuras y Equipamientos Penitenciarios y de Seguridad del Estado (SIEPSE): "Obra de Demolición Interior del Edificio en Calle Olaguibel, nº15 en Vitoria (Gasteiz), Álava (Antiguo Palacio de Justicia)</t>
  </si>
  <si>
    <t>Vitoria-Gasteiz</t>
  </si>
  <si>
    <t>4.990,33 $</t>
  </si>
  <si>
    <t>Joseba Gandarias Ortuzar, Oficina Técnica, Polígono Comarca II, Calle F nº18, 31191 Barbatain (Navarra), Mail: joseba@obratex.com, Tlf. 948.546.411</t>
  </si>
  <si>
    <t>El alcance de las tareas fue la redacción de los siguientes puntos de la oferta:
• Memoria descriptiva
• Planificación de los trabajos</t>
  </si>
  <si>
    <t>Comsoft FQ_ACC MAD</t>
  </si>
  <si>
    <t>Instalación de Nodo de Entrada en Centro de Control de Tránsito Aéreo</t>
  </si>
  <si>
    <t>Torrejón de Ardoz</t>
  </si>
  <si>
    <t>1.635,49 $</t>
  </si>
  <si>
    <t>FREQUENTIS Comsoft</t>
  </si>
  <si>
    <t>Stephan Bruder, Mail: einkauf-comsoft@frequentis.com</t>
  </si>
  <si>
    <t>El objeto del contrato fue la instalación de un Nodo de Entrada en el Centro de Tránsito Aéreo en Torrejón de Ardoz.</t>
  </si>
  <si>
    <t>Los trabajos realizados fueron:
• Gestión local para realizar los trabajos
• Obtener permisos de la autoridad relevante para acceso y rendimiento de los trabajos
• Gastos, proporción de mano de obra, transporte, servicios y energía necesarias para ejecutar y completar los trabajos
• Eliminación/vertido de materiales de embalaje
• Instalación del equipamiento entregado por Frequentis Comsoft
• Pruebas in-situ
• Documentación de instalación y SAT (Site Acceptance Test)</t>
  </si>
  <si>
    <t>iFocus EZENTIS</t>
  </si>
  <si>
    <t>Mecanizado URV para consolas FOCUS</t>
  </si>
  <si>
    <t>Marzo 2021</t>
  </si>
  <si>
    <t>21.661,94 $</t>
  </si>
  <si>
    <t>EZENTIS TECNOLOGIA, S.L.</t>
  </si>
  <si>
    <t>EZENTIS TECNOLOGIA, S.L., Calle Santa Leonor 65, Edificio B, Parque Empresarial Avalon, Mail: corporativo.compras@ezentis.com</t>
  </si>
  <si>
    <t>El objeto del contrato fue dar respuesta a la necesidad para realizar un mecanizado que permitiera la integración en las consolas FOCUS de los elementos que conformaban el Último Recurso de Voz, dentro del expediente DNA 119-19 "Suministro en Estado Operativo de Sistemas de Comunicaciones de Último Recurso Voz para los Centros de Control"</t>
  </si>
  <si>
    <t>Las tareas realizadas fueron:
• Fabricación del prototipo del panel frontal y cazoleta para soporte de pantalla según planos del documento URV_Integración_FOCUS
• Fabricación del diseño final del panel frontal y cazoleta para soporte de pantalla
• Rótula para soporte de pantalla ELO 10"</t>
  </si>
  <si>
    <t>SASEMAR Caseta LCG</t>
  </si>
  <si>
    <t>Proyecto de caseta de seguridad. Ampliación del hangar de helicópteros del Aeropuerto de A Coruña</t>
  </si>
  <si>
    <t>El objeto del contrato fue la redacción del proyecto de la Nueva Caseta de Seguridad y el recálculo de la red de tuberías desde la sala de producción de frío hasta las climatizadoras.</t>
  </si>
  <si>
    <t>La tarea desarrollada por AIRIA fue la consecución de la siguiente documentación:
• Memoria y Anexos (memoria descriptiva y justificativa acompañada de los anejos de cálculo, estudiando la adecuación técnica y funcional de la propuesta en cuanto al correcto funcionamiento, optimización del consumo energético, accesibilidad, optimización de los espacios, definición de los espacios y materiales, definición de los elementos y métodos constructivos, sistema envolvente, compartimentación, acabados finales, definición de las instalaciones y sistema estructural. Se incluyó un Estudio de Seguridad Operacional y un Estudio de afección a la operatividad del aeropuerto durante las obras
• Planos (de estructura, de arquitectura e instalaciones)
• Pliego de Prescripciones Técnicas
• Presupuesto (mediciones unitarias por paridas de obra, presupuesto desglosado por capítulos y análisis de precios unitarios)</t>
  </si>
  <si>
    <t>16.392,71 $</t>
  </si>
  <si>
    <t>Plan Negocio Huelva</t>
  </si>
  <si>
    <t>Oferta de colaboración en la documentación asociada al Plan Director del Aeropuerto de Huelva</t>
  </si>
  <si>
    <t>Gibraleón</t>
  </si>
  <si>
    <t>Abril 2021</t>
  </si>
  <si>
    <t>El alcance del expediente estuvo relacionado con la actualización de la información incluida en el Plan Director del Aeropuerto de Huelva, así como los estudios asociados que apoyaban la viabilidad económico-financiera de este nuevo aeropuerto.</t>
  </si>
  <si>
    <t>Las tareas llevadas a cabo fueron:
• Redimensionamiento de las variables consideradas en el Plan de Negocio asociado al Plan Director de septiembre de 2020 y análisis de la estructura de costes planteada. Introducción de nuevas variables propuestas
• Replanteamiento de la propuesta inicial del análisis de previsión de demanda de tráfico, con las posibles variables y elementos catalizadores de tráfico ajustados al nuevo contexto. Justificación de las variables, análisis en un nuevo modelo, validación y análisis de los resultados. Consideración de nueva metodología para ajustar las previsiones de tráfico a unos términos más realistas
• Benchmarking de aeropuertos de características similares y análisis de sus respectivos rendimientos en términos económico-financieros
• Revisión y redefinición de las inversiones para la construcción del nuevo aeropuerto, integrando el nuevo desglose de inversión asociado a los costes de expropiación. Revisión del CAPEX y OPEX
• Actualización de parámetros definitorios y soluciones adoptadas para el desarrollo previsible del aeropuerto de Huelva dentro del Plan Director
• Revisión de la homogeneidad y coherencia de los datos incluidos en sendos documentos</t>
  </si>
  <si>
    <t>12.812,05 $</t>
  </si>
  <si>
    <t>DIACAE TIC ELECNOR</t>
  </si>
  <si>
    <t>DIACAE "Adecuación de Instalaciones División TIC. Planta Primera - Terminal T2. Aeropuerto Adolfo Suárez Madrid-Barajas</t>
  </si>
  <si>
    <t>2.618,36 $</t>
  </si>
  <si>
    <t>Daniel Portilla, Mail: dportilla@elecnor.com</t>
  </si>
  <si>
    <t>El objeto del contrato fue la delineación en formato DIACAE de la documentación aportada por el cliente perteneciente a la obra "Adecuación de Instalaciones División TIC. Planta Primera - Terminal T2".</t>
  </si>
  <si>
    <t>Las tareas llevadas a cabo fueron, principalmente:
• Elaboración de planos en formato DIACAE v.11:
     - Planos de planta de arquitectura e
     instalaciones
     - Esquemas unifilares y de principio
     - Plano incluyendo el punto exacto de
     conexión con las instalaciones existentes
     del aeropuerto</t>
  </si>
  <si>
    <t>Comsoft FQ_Gestión Residuos</t>
  </si>
  <si>
    <t>Apoyo en desmontaje y vertido de ETFMS en Madrid</t>
  </si>
  <si>
    <t>386,35 $</t>
  </si>
  <si>
    <t>El alcance del contrato fue el apoyo en las tareas de desmontaje y vertido del sistema ETFMS en Madrid.</t>
  </si>
  <si>
    <t>Los trabajos realizados incluyeron el transporte del hardware antiguo desde ENAIRE y su vertido, exceptuando las unidades de disco duro, la obtención de los certificados de gestión de residuos, y el envío de las unidades de disco duro a FCO.</t>
  </si>
  <si>
    <t>IATA DDFS WAW II</t>
  </si>
  <si>
    <t>Preparation of Design Day Flight Schedules for STH airport</t>
  </si>
  <si>
    <t>Baranów</t>
  </si>
  <si>
    <t>El objeto del contrato fue proporcionar servicios de consultoría con respecto al proyecto: Preparación de horarios de vuelo en un día de diseño para el aeropuerto STH.</t>
  </si>
  <si>
    <t>24.270,16 $</t>
  </si>
  <si>
    <t xml:space="preserve">Las tareas llevadas a cabo por AIRIA fueron:
• Análisis del tráfico de pasajeros, aeronaves y carga según mezcla de aeronaves, segmentos y clases de tráfico, para la obtención de un perfil típico diario
• Elaboración de 12 planes de vuelo de un día tipo para 4 horizontes de diseño a partir de un perfil diario actual y la proyección realizada sobre tres posibles escenarios de crecimiento definidos en las previsiones de demanda de tráfico elaboradas por IATA
• Elaboración de 1 plan de vuelo adicional para un horizonte de 100 millones de pasajeros, sobre la proyección de tráfico realizada por IATA en el escenario Base
• Análisis de las oleadas de tráfico en día tipo, flota de aeronaves y rutas previstas de cada una de las aerolíneas esperadas a corto y largo plazo. Análisis detallado para el caso de LOT Polish Airlines
• Análisis de la influencia de la tipología de vuelos y de las estrategias operativas de las aerolíneas en la capacidad del aeropuerto, según la configuración de pistas paralelas independientes
• Estudio de aeronaves en tierra para los 4 horizontes de diseño y los tres escenarios definidos en las previsiones de demanda realizadas por IATA
</t>
  </si>
  <si>
    <t>Datos previos hotel MAD</t>
  </si>
  <si>
    <t>Realizaciónde estudios previos para el Proyecto de la demolición de estructura del hotel en el Aeropuerto Adolfo Suárez Madrid-Barajas</t>
  </si>
  <si>
    <t>7.966,97 $</t>
  </si>
  <si>
    <t>Erri-Berri S.L.</t>
  </si>
  <si>
    <t>Pedro Orcaray Echeverría, Arquitecto, Calle Alcalde Maillata 37b, 31390 Olite (Navarra), Mail: porcaray@erriberrisl.com, Tlf. 948.741.810</t>
  </si>
  <si>
    <t>Para la correcta definición de los trabajos a ejecutar en la demolición de la estructura de la edificación inacabada, ubicada frente a Terminal T2 del aeropuerto Adolfo Suárez Madrid-Barajas, se requirió un levantamiento topográfico con replanteo de la edificación, instalaciones y elementos colindantes, así como un estudio mediante el empleo de georradar con la finalidad de localizar e identificar todas las instalaciones y servicios afectados durante las obras.</t>
  </si>
  <si>
    <t xml:space="preserve">Las actuaciones y tareas desarrolladas fueron:
• Levantamiento topográfico en ETRS89 y proyección UTM para definición de:
     - Definición geométrica de cada una de las
     plantas de la estructura objeto de
     demolición (límites de forjados, alturas y
     replanteo de huecos)
     - Planta de todos los edificios y elementos
     urbanísticos afectados en la zona
     colindante a la estructura
     - Registros y servicios existentes
     - Viales afectados con su señalización
     - Malla de puntos para obtener la
     altimetría de la zona con curvas de nivel
• Campaña de georradar para exploración geofísica de 4 metros de profundidad del subsuelo, con el objeto de localizar anomalías relativas a:
     - Servicios afectados e instalaciones
     existentes en la zona, previa a la
     demolición
     - Sótano -2
• Tambiñen se realizó un estudio de georradar en la urbanización exterior dentro de la parcela </t>
  </si>
  <si>
    <t>Encuestas APM 2021</t>
  </si>
  <si>
    <t>IM-Encuesta 2021 de Satisfacción a Pasajeros Usuarios del Sistema de Transporte Automático APM</t>
  </si>
  <si>
    <t>4.992,78 $</t>
  </si>
  <si>
    <t>Sergio Ibáñez Cózar, Jefe de Sección APM y Otras Instalaciones, Terminal 4, Avenida de la Hispanidad s/n, 28042 Madrid, Mail: sicozar@aena.es, Tlf. 664.182.673</t>
  </si>
  <si>
    <t>El objeto del expediente fue la realización de encuestas para medir la satisfacción de los pasajeros del Aeropuerto Adolfo Suárez Madrid-Barajas con respecto al Sistema de Transporte Automático APM que presta servicio entre las terminales T4 y T4 Satélite.</t>
  </si>
  <si>
    <t>El estudio englobó la realización de distintas tareas, en concreto:
• Realización de encuestas que midieran y analizaran la satisfacción de los usuarios con el servicio prestado, detectara los puntos fuertes y débiles del sistema, identificara las líneas de mejora futuras y la corrección de puntos débiles, abarcara un espacio muestral adecuado y diverso, y realizara un análisis comparativo y evolutivo del sistema basándose en las mediciones en años anteriores
• Realización de informes mensuales entregados al Director del Expediente, donde se detallaba el número de encuestas realizadas, las zonas donde se llevaron a cabo, así como los horarios. También se incluyeron estadísticas y análisis de la evolución de los resultados comparados con los de años anteriores</t>
  </si>
  <si>
    <t>Ext Plus BCN II</t>
  </si>
  <si>
    <t>Redacción de proyecto técnico y Dirección de Obra y Seguridad y Salud para elementos publicitarios en el Aeropuerto Josep Tarradellas Barcelona-El Prat</t>
  </si>
  <si>
    <t>3.496,74 $</t>
  </si>
  <si>
    <t>El objeto del contrato fue la instalación de nuevos elementos publicitarios repartidos en distintas plantas de la Terminal T1 y T2 del Aeropuerto de Barcelona.</t>
  </si>
  <si>
    <t>Las tareas realizadas por AIRIA fueron:
• Redacción de proyecto ejecutivo de PROYECTO 01 - Montaje de soportes publicitarios (15 soportes). Aeropuerto Josep Tarradellas Barcelona El Prat
• Dirección de Obra y Coordinación de Seguridad y Salud del PROYECTO 01 y emisión de Certificado Final de Obra</t>
  </si>
  <si>
    <t>Agosto 2021</t>
  </si>
  <si>
    <t>Según la documentación, deberían haberse instalado 15 soportes publicitarios. Sin embargo, todos los documentos corresponden a un proyecto de 21 soportes.</t>
  </si>
  <si>
    <t>2.148,40 $</t>
  </si>
  <si>
    <t>El objeto del proyecto fue la instalación de nuevos elementos publicitarios de tipo entrecintas en los hipódromos de la Terminal T1 del Aeropuerto de Barcelona.</t>
  </si>
  <si>
    <t>Las tareas realizadas por AIRIA fueron:
• Redacción de proyecto ejecutivo de PROYECTO 02 - Sustitución de Entrecintas Digitales (4 entrecintas convencionales). Aeropuerto Josep Tarradellas Barcelona El Prat
• Dirección de Obra y Coordinación de Seguridad y Salud del PROYECTO 02 y emisión de Certificado Final de Obra</t>
  </si>
  <si>
    <t>2.545,62 $</t>
  </si>
  <si>
    <t>Noviembre 2021</t>
  </si>
  <si>
    <t xml:space="preserve">El objeto del proyecto fue la desinstalación de luminosos entrecintas en la Planta P10 de la Terminal T1 del Aeropuerto de Barcelona. </t>
  </si>
  <si>
    <t>Las tareas realizadas por AIRIA fueron:
• Redacción de proyecto ejecutivo de PROYECTO 03 - Desmontaje de Entrecintas Digitales (10 entrecintas convencionales). Aeropuerto Josep Tarradellas Barcelona El Prat
• Dirección de Obra y Coordinación de Seguridad y Salud del PROYECTO 03 y emisión de Certificado Final de Obra</t>
  </si>
  <si>
    <t>DIACAE Clima T123</t>
  </si>
  <si>
    <t>Sustitución de Tuberías de Agua en las Instalaciones de Climatización de T123. Aeropuerto Adolfo Suárez Madrid-Barajas</t>
  </si>
  <si>
    <t>1.320,37 $</t>
  </si>
  <si>
    <t>El objeto del contrato fue la delineación en formato DIACAE de la documentación aportada por el cliente perteneciente a la obra "Sustitución de Tuberías de Agua en las Instalaciones de Climatización de T123".</t>
  </si>
  <si>
    <t>MERCADONA Paracuellos</t>
  </si>
  <si>
    <t>Estudio de Apantallamiento construcción Paracuellos</t>
  </si>
  <si>
    <t>Paracuellos de Jarama</t>
  </si>
  <si>
    <t>4.307,98 $</t>
  </si>
  <si>
    <t>Mercadona S.A.</t>
  </si>
  <si>
    <t>Javier Casado, Gerente de Apoyo Técnico Obra - Obras 13, Mail: jcasaru@mercadona.es, Tlf. 683.673.774 Ext 53196</t>
  </si>
  <si>
    <t>El objeto del contrato fue la realización de un estudio de apantallamiento para la posterior construcción de un edificio comercial de supermercado en una parcela situada en Paracuellos del Jarama, Madrid.</t>
  </si>
  <si>
    <t>AIRIA llevó a cabo las siguientes tareas:
• Estudio de apantallamiento donde se especificó la posición y altura de las construcciones y elevación del terreno y cotas de las construcciones implicadas en el estudio
• Análisis del cumplimiento del RD 584/1972, de 24 de febrero y posteriores reformas respecto a las Servidumbres aeronáuticas de la Base Aérea de Torrejón</t>
  </si>
  <si>
    <t>Aeródromo Ocaña</t>
  </si>
  <si>
    <t>Servicio de Comercialización, Intermediación Inmobiliaria y Gestión de la Venta, de un Aeródromo propiedad de SENASA</t>
  </si>
  <si>
    <t>Ocaña</t>
  </si>
  <si>
    <t>Octubre 2021</t>
  </si>
  <si>
    <t>Enero 2022</t>
  </si>
  <si>
    <t>43.639,28 $</t>
  </si>
  <si>
    <t>SURUS INVERSA SL</t>
  </si>
  <si>
    <t>Daniel Barrientos, Bienes Raíces, SURUS INVERSA SL, Camino de las Huertes 18, 2ª Planta, 28223 Pozuelo de Alarcón (Madrid), Mail: dbarrientos@surusin.com, Tlf. 91.352.45.07</t>
  </si>
  <si>
    <t>El objeto del contrato fue la redacción de documentación técnica y apoyo en el proceso de venta en el ámbito aeronáutico de un aeródromo propiedad de SENASA.</t>
  </si>
  <si>
    <t>AIRIA desarrolló las siguientes actividades, especificadas dentro del alcance del contrato:
• Análisis del mercado
• Creación de contenidos para la comercialización, la difusión y promoción de la venta del bien
• Búsqueda de clientes potenciales
• Organización de visitas
• Intermediación inmobiliaria en el proceso de la compraventa del aeródromo</t>
  </si>
  <si>
    <t>Ampliación T4S MAD</t>
  </si>
  <si>
    <t>Servicios de Ingeniería para Elaboración de Proyecto de Ampliación. Aeropuerto Adolfo Suárez Madrid-Barajas</t>
  </si>
  <si>
    <t>Marzo 2022</t>
  </si>
  <si>
    <t>249.527,19 $</t>
  </si>
  <si>
    <t>Elena Martínez Quirós, Área de Infraestructuras, Calle Magallanes, 3-3ª Planta, 28015 Madrid, Mail: emquiros@empre.es, Tlf. 91.309.81.00</t>
  </si>
  <si>
    <t>El objeto de la oferta fue presentar los alcances a realizar por parte de AIRIA dentro de los requisitos de las instrucciones trasnmitidas por GHESA, así como los plazos y los honorarios.</t>
  </si>
  <si>
    <t>El alcance de los servicios prestados por AIRIA incluyó:
• Diseño, cálculo y modelado de las instalaciones de fontanería, saneamiento y electricidad
• Modelado de las instalaciones de PCI
• Desarrollo de memorias, planos, pliegos y presupuesto
• Desarrollo de modelado en 3D</t>
  </si>
  <si>
    <t>Delineación TIC ELECNOR</t>
  </si>
  <si>
    <t>Delineación para justificación de mediciones del expediente MAD 508/17 "Adecuación de Instalaciones División TIC. Planta Primera Terminal T2" en el Aeropuerto Adolfo Suárez Madrid-Barajas</t>
  </si>
  <si>
    <t>1.745,57 $</t>
  </si>
  <si>
    <t>Diego Portilla, Jefe Obra CP 149 Montajes, Delegación de Instalaciones, Calle Maestro Alonso 21, 2ª Planta, 28028 Madrid, Mail: dportilla@elecnor.com, Tlf. 675.239.494</t>
  </si>
  <si>
    <t>El objeto del contrato fue la delineación en formato AutoCAD de la documentación aportada por el cliente perteneciente a la obra "Adecuación de Instalaciones División TIC. Planta Primera Terminal T2" en el Aeropuerto Adolfo Suárez Madrid-Barajas, para justificación de partidas.</t>
  </si>
  <si>
    <t>DIACAE ACC Madrid</t>
  </si>
  <si>
    <t>DIACAE "Acondicionamiento de Espacio para el Sistema EGNOS V3 en el ACC Madrid"</t>
  </si>
  <si>
    <t>1.286,80 $</t>
  </si>
  <si>
    <t>Juan Carlos Herrero Cepeda, Jefe de Obra, Calle Maestro Alonso, 21-23, 28028 Madrid, Mail: jcherrero@elecnor.com, Tlf. 91.726.00.76</t>
  </si>
  <si>
    <t>El objeto del contrato fue la delineación en formato DIACAE de la documentación aportada por el cliente perteneciente a la obra "Acondicionamiento de Espacio para el Sistema EGNOS V3 en el ACC Madrid" en el Aeropuerto Adolfo Suárez Madrid-Barajas.</t>
  </si>
  <si>
    <t>La principal tarea llevada a cabo fue:
• Elaboración de planos en formato CAD:
     - Planos de planta con representación de
     los elementos aportados en consonancia
     con excel de mediciones</t>
  </si>
  <si>
    <t>La principal tarea llevada a cabo fue:
• Elaboración de planos en formato DIACAE V.11:
     - Obra Civil
     - Electricidad
     - Iluminación
     - Climatización
     - CCTV y Control de Acceso
     - Megafonía</t>
  </si>
  <si>
    <t>DFO TIC MAD</t>
  </si>
  <si>
    <t>514,72 $</t>
  </si>
  <si>
    <t>Subsanación de deficiencias en el informe de DFO MAD 508/17 "Adecuación Instalaciones División TIC. Planta Primera Terminal T2"</t>
  </si>
  <si>
    <t xml:space="preserve">El objeto del contrato fue la realización de trabajos de revisión y subsanación de deficiencias detectadas por la División de Ingeniería y Mantenimiento de AENA en la revisión del expediente MAD 508/17 "Adecuación Instalaciones División TIC. Planta Primera Terminal T2". </t>
  </si>
  <si>
    <t>Los trabajos realizados comprendieron:
• Entrega de un único documento en pdf con marcadores que contenía toda la documentación de la DFO (memoria, fichas técnicas, certificados, PGR, Certificados Gestión Residuos, Legalizaciones BT, PCI, etc.)
• Entrega del proyecto en una carpeta "Proyecto" aparte
• Inclusión del informe fotográfico de los archivos en jpg
• Inclusión de listado de suministradores en un pdf aparte
• Eliminación de capas DIACAE que no eran necesarias en planos
• Revisión de todas las instalaciones</t>
  </si>
  <si>
    <t>SA-Servicio para la realización de un estudio de la capacidad de las zonas de deshielo en el Aeropuerto Adolfo Suárez Madrid-Barajas</t>
  </si>
  <si>
    <t>Capacidad deshielo MAD</t>
  </si>
  <si>
    <t>Mayo 2022</t>
  </si>
  <si>
    <t>14.210,74 $</t>
  </si>
  <si>
    <t>Pedro Pablo Ramos Casado, Jefe Departamento Operaciones Tierra, División Servicios Aeroportuarios, Avenida de la Hispanidad s/n, Edificio de la Unión T1-T2, 2ª Planta, 28042 Madrid, Mail: pramos@aena.es, Tlf. 91.324.33.18</t>
  </si>
  <si>
    <t>El objeto del expediente fue la necesidad de realización de un estudio detallado de la capacidad de las zonas de deshielo existentes en el Aeropuerto Adolfo Suárez Madrid-Barajas. En concreto, el estudio analizó el número máximo de los medios que podían trabajar de manera simultánea en cada uno de los subsistemas que conforman las zonas de deshielo 36L y 36R existentes.</t>
  </si>
  <si>
    <t>Los trabajos incluyeron el desarrollo y consecución de los siguientes entregables:
• Análisis del escenario actual. Estudio detallado de la infraestructura y operativa existentes en las dos superficies de deshielo (36L y 36R). Análisis y descripción de la forma de gestión de la operativa de deshielo
• Estudio de la capacidad de las zonas de deshielo. Análisis del número máximo de medios que pueden trabajar de forma simultánea en cada uno de los subsistemas de las zonas de deshielo 36L y 36R, manteniendo los máximos niveles de seguridad y eficiencia
• Valoración y propuesta de actuaciones para incrementar la capacidad de cada uno de los subsistemas de la zona de deshielo</t>
  </si>
  <si>
    <t>DIACAE bancadas T2 MAD</t>
  </si>
  <si>
    <t>DIACAE DFO MAD 349/19 "Mobiliario y Equipamiento Salas de Embarque Remotos Norte y Sur Terminal 2". Aeropuerto Adolfo Suárez Madrid-Barajas</t>
  </si>
  <si>
    <t>Roberto de la Fuente, Arquitecto-Jefe de Obra, Dirección Centro/Delegación de Instalaciones/757, Calle Maestro Alonso, nº21, 28028 Madrid, Mail: roberto.delafuente@elecnor.com, Tlf. 91.726.00.76</t>
  </si>
  <si>
    <t>El objeto del contrato fue la delineación en formato DIACAE de la documentación aportada por el cliente perteneciente a la obra "Mobiliario y Equipamiento Salas de Embarque Remotos Norte y Sur Terminal 2" en el Aeropuerto Adolfo Suárez Madrid-Barajas.</t>
  </si>
  <si>
    <t>La principal tarea llevada a cabo fue:
• Elaboración de planos en formato DIACAE V.11 "as built":
     - Planos de planta de arquitectura y
     equipamientos
     - Trazado de instalaciones</t>
  </si>
  <si>
    <t>805,65 $</t>
  </si>
  <si>
    <t>Apoyo Omán</t>
  </si>
  <si>
    <t>Experto Ingeniero Aeronáutico para proyecto de balizamiento de un Aeropuerto en Omán</t>
  </si>
  <si>
    <t>Muscat</t>
  </si>
  <si>
    <t>5.501,76 $</t>
  </si>
  <si>
    <t>Pedro Antonio Reina Viedma, Ingeniero Aeronáutico, Director Diseño y Desarrollo Aeropuertos, Mail: preina@prointec.es, Tlf. 659.014.492 Ext 148492</t>
  </si>
  <si>
    <t>El objeto del contrato fue aportar el conocimiento y experiencia para la realización de un proyecto de balizamiento de un aeropuerto en Omán</t>
  </si>
  <si>
    <t>Los trabajos asociados al pedido correspondieron a las siguientes tareas:
• Trabajos de revisión y análisis de documentación para visita
• Viaje al aeropuerto de Muscat para presentación del proyecto preliminar de balizamiento
• Visitas a campo de vuelo e instalaciones existentes con el objetivo de determinar el diseño preliminar y los criterios de diseño del cliente y toma de datos pertinentes</t>
  </si>
  <si>
    <t>Stand Veh MAD</t>
  </si>
  <si>
    <t>Seguimiento obra por RSO. Instalación de Stand publicitario de vehículo en el Aeropuerto Adolfo Suárez Madrid-Barajas</t>
  </si>
  <si>
    <t>738,51 $</t>
  </si>
  <si>
    <t>Álvaro Martínez Ruano, Jefe de Servicio, Avenida Pirineos, 7-3ª Izquierda, San Sebastián de los Reyes, 28703 Madrid, Mail: alvaromartinez@exteriorplus.es, Tlf. 91.623.82.07</t>
  </si>
  <si>
    <t>La principal tarea desarrollada por AIRIA fue:
• Seguimiento de obra por parte de un Responsable de Seguridad Operacional (RSO)
• Realización de dos visitas a obra (montaje y desmontaje)</t>
  </si>
  <si>
    <t>PVSO Clima T4</t>
  </si>
  <si>
    <t>Redacción de PVSO y servicio de RSO: Trabajos de instalación de máquina de climatización en local comercial del Terminal T4 en el Aeropuerto Adolfo Suárez Madrid-Barajas</t>
  </si>
  <si>
    <t>Septiembre 2022</t>
  </si>
  <si>
    <t>727,32 $</t>
  </si>
  <si>
    <t>Beatriz Sierra, Departamento de Operaciones, Avenida Pirineos, 7-3ª Izquierda, San Sebastián de los Reyes, 28703 Madrid, Mail: bsierra@exteriorplus.es, Tlf. 91.623.82.07</t>
  </si>
  <si>
    <t>El objeto del proyecto estuvo relacionado con los trabajos de instalación de una máquina de climatización en un local comercial del Terminal T4 en el Aeropuerto Adolfo Suárez Madrid-Barajas.</t>
  </si>
  <si>
    <t>Los trabajos realizados fueron:
• Elaboración y auditoría de PVSO de obra por parte de un Responsable de Seguridad Operacional (RSO)
• Seguimiento de obra por parte de un Responsable de Seguridad Operacional (RSO)
• Realización de una visita a obra</t>
  </si>
  <si>
    <t>Drag_Pasillo T1-T2 MAD</t>
  </si>
  <si>
    <t>Oferta de colaboración en la preparación del concurso de Aena DIN-332/2022 "Mejoras Operativas Plan Prestacional Pasillo de Conexiones T1-T2. Aeropuerto Adolfo Suárez Madrid-Barajas"</t>
  </si>
  <si>
    <t>Octubre 2022</t>
  </si>
  <si>
    <t>7.088,59 $</t>
  </si>
  <si>
    <t>Daniela Gutiérrez Rodríguez, Estudios Delegación Madrid y Castilla La Mancha Obra Civil, Calle Vilar de Donas nº1, 1ª Planta, 28050 Madrid, Mail: dgutierrez@dragados.com, Tlf. 91.384.92.42</t>
  </si>
  <si>
    <t>El alcance de la oferta fue la preparación de la documentación técnica para la presentación por parte de DRAGADOS relativa al expediente descrito.</t>
  </si>
  <si>
    <t>El alcance de las tareas fue la redacción de los siguientes puntos de la oferta:
• Utilización de materiales de construcción/productos/equipos con ecoetiquetas reglamentarias (Tipo I y II)
• Conocimiento del proyecto
     - Estudio de las mediciones de las
     unidades del proyecto
     - Estudio de las nuevas unidades
     necesarias para ejecutar la obra
     - Presentación de alternativas al proyecto
     encaminadas a la mejora de procesos
• Otros criterios sometidos a juicio de valor
      - Conocimiento del proceso constructivo:
      actuaciones críticas y relevantes
      - Programa de trabajos
      - Análisis Servidumbres</t>
  </si>
  <si>
    <t>Encuestas APM 2022</t>
  </si>
  <si>
    <t>IM-Encuesta 2022 de Satisfacción a Pasajeros Usuarios del Sistema de Transporte Automático APM</t>
  </si>
  <si>
    <t>Diciembre 2022</t>
  </si>
  <si>
    <t>5.580,79 $</t>
  </si>
  <si>
    <t>El objeto del expediente fue la realización de encuestas para medir la satisfacción de los pasajeros del Aeropuerto Adolfo Suárez Madrid-Barajas con respecto al Sistema de Transporte Automático APM que presta servicio entre las terminales T4 y T4 Satélite</t>
  </si>
  <si>
    <t>SyS Paisaje de la luz</t>
  </si>
  <si>
    <t>Coordinación en Materia de Seguridad y Salud de la obra "Centro de Interpretación de: "El Paseo del Prado y el Buen Retiro, Paisaje de las Artes y las Ciencias" como Patrimonio Mundial de la UNESCO"</t>
  </si>
  <si>
    <t>Abril 2022</t>
  </si>
  <si>
    <t>1.736,54 $</t>
  </si>
  <si>
    <t>Dirección General de Patrimonio Cultural, Ayuntamiento de Madrid</t>
  </si>
  <si>
    <t>Blanca Mora Calderón, Jefa de Departamento de Restauración del Patrimonio</t>
  </si>
  <si>
    <t>El objeto del contrato fue la realización de servicios de coordinación en materia de Seguridad y Salud de la obra Centro de Interpretación de: "El Paseo del Prado y el Buen Retiro, Paisaje de las Artes y las Ciencias" como Patrimonio Mundial de la UNESCO".</t>
  </si>
  <si>
    <t>Las tareas desarrolladas por AIRIA fueron:
• Estudio básico/Estudio de Seguridad y Salud
• Informes al Plan de Seguridad y Salud
• Coordinación de Seguridad y Salud</t>
  </si>
  <si>
    <t>PVSO Stand Porsche</t>
  </si>
  <si>
    <t>Redacción de PVSO</t>
  </si>
  <si>
    <t>Mayo 2023</t>
  </si>
  <si>
    <t>Junio 2023</t>
  </si>
  <si>
    <t>335,69 $</t>
  </si>
  <si>
    <t>Andrés Serrano Ferrer, Avenida Pirineos, 7-3ª Izquierda, San Sebastián de los Reyes, 28703 Madrid, Mail: aserrano@exteriorplus.es, Tlf. 91.623.82.07</t>
  </si>
  <si>
    <t>El alcance del contrato fue la elaboración y auditoría de PVSO de obra por Responsable de Seguridad Operacional (RSO).</t>
  </si>
  <si>
    <t xml:space="preserve">La principal tarea realizada fue la elaboración del Plan de Vigilancia de Seguridad Operacional (PVSO). </t>
  </si>
  <si>
    <t>Stands MAD_BCN</t>
  </si>
  <si>
    <t>Redacción de proyectos técnicos para elementos publicitarios en el Aeropuerto Josep Tarradellas Barcelona-El Prat y en el Aeropuerto Adolfo Suárez Madrid-Barajas</t>
  </si>
  <si>
    <t>Julio 2023</t>
  </si>
  <si>
    <t>4.990,54 $</t>
  </si>
  <si>
    <t>El objeto del contrato fue la redacción de un proyecto técnico de stand en el Aeropuerto Josep Tarradellas Barcelona-El Prat y otro en el Aeropuerto Adolfo Suárez Madrid-Barajas.</t>
  </si>
  <si>
    <t>Los servicios realizados fueron:
• Redacción de memoria, anexos y planos, incluyendo: estado actual del área de actuación, ubicación del stand y características, cálculo eléctrico, comprobación estructural, PCI, Seguridad y Salud, prespuesto de la instalación
• Elaboración de PVSO de obra por un Responsable de Seguridad Operacional (RSO)
• Servicio de RSO
• Visitas a obras
• Dirección de obra, Coordinación de Seguridad y Salud del proyecto y emisión de Certificado Final de Obra
• OCA de 0 a 20 kW
• Inscripción RITSIC</t>
  </si>
  <si>
    <t>447,58 $</t>
  </si>
  <si>
    <t>El objeto del contrato fue la redacción de un Plan de Seguridad y Salud para elementos publicitarios en el Aeropuerto Josep Tarradellas Barcelona-El Prat.</t>
  </si>
  <si>
    <t>El principal servicio realizado por AIRIA fue:
• Redacción de Plan de Seguridad y Salud</t>
  </si>
  <si>
    <t>AT Kearny Middle East</t>
  </si>
  <si>
    <t>Encuestas APM_Pedido</t>
  </si>
  <si>
    <t>IM-Encuesta 2023 de Satisfacción a Pasajeros Usuarios del Sistema de Transporte Automático APM</t>
  </si>
  <si>
    <t>Diciembre 2023</t>
  </si>
  <si>
    <t>Noviembre 2023</t>
  </si>
  <si>
    <t>Raúl Nieto García, Sección de A.P.M., Mail: rnieto@aena.es, Tlf. 610.072.597</t>
  </si>
  <si>
    <t>Congonhas (Fallido)</t>
  </si>
  <si>
    <t>Proceso de licitación para la construcción de la Reforma y la Ampliación del Aeropuerto de Congonhas en Sao Paulo - SP</t>
  </si>
  <si>
    <t>Mayo 2024</t>
  </si>
  <si>
    <t>Junio 2024</t>
  </si>
  <si>
    <t>Alejandro Acerete, Director Área de Gestión de Ingenierías y Diseño Construcción, Avenida Gran Vía de Hortaleza 3-5, Edificio 9, 28033 Madrid, Mail: alejandro.acerete.navarro@acciona.com, Tlf. 670.054.498</t>
  </si>
  <si>
    <t>El objeto del contrato era participar en el proceso de licitación para la Construcción de la Reforma y la Ampliación del Aeropuerto de Congonhas en Sao Paulo.</t>
  </si>
  <si>
    <t xml:space="preserve">Las tareas a desarrollar pretendían estructurarse en dos fases de trabajo:
• Fase 1: Análisis y propuesta de alternativas de diseño
     - Análisis funcional y de coherencia de las
     solciones adaptadas
     - Comprobación del estado actual del
     aeropuerto existente
     - Análisis de la información del Contrato de
     Concesión
     - Adecuación de los proyectos previstos a
     las normas aeroportuarias y agentes
     oficiales
     - Lista de mejoras técnicas y funcionales
     - Principales riesgos del proyecto
     - Revisión/verificación de las áreas de
     ampliación y reforma y de las partidas de
     servicios
     - Evaluación de la información facilitada en
     el marco de las infraestructuras existentes
     - Análisis exhaustivo de los Estudios
     Técnicos Preliminares para el
     levantamiento y validación de las
     características de los edificios y
     equipamientos existentes
     - Estudio y análisis de soluciones
     alternativas
     - Desarrollo de documentación de las
     soluciones propuestas
     - Apoyo a la preparación la oferta inicial </t>
  </si>
  <si>
    <t>No definido</t>
  </si>
  <si>
    <t>Redacción de estudio de seguridad</t>
  </si>
  <si>
    <t>2.853,34 $</t>
  </si>
  <si>
    <t>Alberto Fernández Cladera, Director de Explotación, Carretera Valldemossa, 79, Mail: afernandez@chsonespases.com, Tlf. 871.90.99.90</t>
  </si>
  <si>
    <t>Societat Concessionària Hospital Son Espases</t>
  </si>
  <si>
    <t>El objeto del contrato fue la prestación del servicio relativo al Asesoramiento en la Legalización del Helipuerto sito en el Hospital Universitari Son Espases.</t>
  </si>
  <si>
    <t>El objeto del contrato estuvo relacionado con el desarrollo de un Estudio aeronáutico de seguridad de elevación del borde inferior de las SLO.</t>
  </si>
  <si>
    <t>Gestión Agua Aena</t>
  </si>
  <si>
    <t>A.T. Elaboración de un Plan Estratégico para la Gestión del Agua en Aena</t>
  </si>
  <si>
    <t>Ingeniería</t>
  </si>
  <si>
    <t>Asistencia Técnica</t>
  </si>
  <si>
    <t>165.493,59 $</t>
  </si>
  <si>
    <t>Eduardo Milanés de la Loma, Técnico de Medio Ambiente, Dirección de Planificación Aeroportuaria y Control Regulatorio, Mail: emilanes@aena.es, Tlf. 671.725.834</t>
  </si>
  <si>
    <t>El objeto del contrato fue la realización de un plan estratégico para la gestión del agua en los aeropuertos de la red de Aena. Para llevar a cabo el trabajo se requirió la realización de un diagnóstico previo de la situación actual al objeto de evaluar el consumo de agua para los diferentes usos y orígenes y de conocer de forma global la gestión en los aeropuertos. En base a los resultados obtenidos, se describieron e identificaron los riesgos y oportunidades para Aena en materia de aguas, definiendo objetivos y estableciendo líneas de actuación.</t>
  </si>
  <si>
    <t>El alcance de los trabajos comprendió las siguientes actividades y tareas:
• "Benchmarking" externo: establecimiento de un marco de referencia para la definición del plan estratégico. Estudio de políticas ambientales, planes u otros documentos de referencia relacionados con la gestión del agua
• Diagnóstico del estado de cada aeropuerto en materia de aguas
• Establecimiento de objetivos a lograr en cada aeropuerto
• Establecimiento de acciones/medidas para alcanzar los objetivos
• Establecimiento de indicadores
• Análisis de herramientas para el control automatizado del consumo y calidad de las aguas
• Cumplimiento y preparación ante cambios normativos
• "Reporting" y comunicación
• Redacción de Informe final</t>
  </si>
  <si>
    <t>Se produjo una suspensión temporal del expediente debido a la situación creada por el COVID-19, desde el día 1 de abril de 2020. El contrato se reanudó el día 01 de octubre de 2020.</t>
  </si>
  <si>
    <t>126.367,62 $</t>
  </si>
  <si>
    <t>Planificación Económica</t>
  </si>
  <si>
    <t>Servicio de Asesoramiento para la Planificación Económica del Grupo AENA</t>
  </si>
  <si>
    <t>Febrero 2025</t>
  </si>
  <si>
    <t>138.129,52 $</t>
  </si>
  <si>
    <t>690.647,62 $</t>
  </si>
  <si>
    <t>Ana María Herranz Casas, Jefe de la División de Planificación y Control Económico, Calle Peonías 12, 28042 Madrid, Mail: amherranz@aena.es, Tlf. 670.002.352</t>
  </si>
  <si>
    <t>El contrato tiene por objeto la realización del servicio de asistencia técnica para la modelización y realización de procesos de planificación y control econoómico, que consisten básicamente en el asesoramiento a la definición, implantación y seguimiento de la gestión presupuestaria de las sociedades dependientes, adaptación de los procesos de planificación a la regulación y mejora de los procedimientos de control, así como todas aquellas tareas que conllevan la correcta elaboración y gestión de los presupuestos.</t>
  </si>
  <si>
    <t>El servicio debe desarrollar las siguientes actividades:
• Elaboración de procedimientos y normativas de aplicación interna en temas de planificación
• Definición e implantación de nuevos procesos de mejora en procedimientos y aplicaciones informáticas de presupuestación
• Elaboración y actualización de modelos de planificación económico-financieros acordes a la regulación del sector y las normativas contables
• Análisis y adaptación de los procesos por incorporación de nuevas sociedades
• Validación de la información integrada en los sistemas y preparación para iniciar procesos presupuestarios
• Soporte a los centros en la elaboración de los procesos de planificación, tanto para el manejo de las herramientas de planificación como de asesoramiento en los procedimientos internos
• Revisión y consolidación de la planificación realizada por por las distintas unidades
• Análisis y elaboración de informes, estudios, diagnósticos, indicadores de gestión y cuadros de mando
• Interpretación y valoración de la información resultante de cada proceso de planificación
• Determinación y desarrollo de indicadores económicos para los análisis de los procesos de seguimiento
• Definición e implantación de nuevos procesos de mejora en procedimientos y aplicaciones informáticas de control del gasto
• Elaboración de informes de seguimiento presupuestario de Aena y sus sociedades dependientes
• Elaboración de ficheros de trabajo para la realización del seguimiento presupuestario
• Elaboración de manuales y actualización de procedimientos y normativas internas
• Gestión y mantenimiento de maestros en SAP y documentos corporativos
• Análisis del comprometido del gasto y gestión del disponible presupuestario
• Soporte a los centros tanto para el manejo de las herramientas de control como de asesoramiento en los procedimientos internos</t>
  </si>
  <si>
    <t>Apoyo FQ-ENAIRE</t>
  </si>
  <si>
    <t>Soporte en el Desarrollo del Expediente DNA 119/19 "Desarrollo en Estado Operativo de Sistemas de Comunicaciones de Último Recurso Voz para los Centros de Control" de ENAIRE</t>
  </si>
  <si>
    <t>Junio 2026</t>
  </si>
  <si>
    <t>15.048.533,55 $</t>
  </si>
  <si>
    <t>Roland Muehlthaler, FREQUENTIS, Innovationsstrasse 1, A-1100 Vienna, Mail: Roland.MUEHLTHALER@frequentis.com, Tlf. +43-1-81150-0</t>
  </si>
  <si>
    <t>El objeto del contrato consiste en el soporte en el desarrollo y ejecución del expediente DNA 119/19 "Suministro en Estado Operativo de Sistemas de Comunicaciones de Último Recurso Voz para los Centros de Control" de ENAIRE.</t>
  </si>
  <si>
    <t>AIRIA está realizando la instalación, trabajos de cableado, y servicios adicionales como transporte in-situ, servicios de montaje, formación y documentación, apoyo in-situ y mantenimiento, así como gestión de proyecto.</t>
  </si>
  <si>
    <t>1.709.848,56 $</t>
  </si>
  <si>
    <t>SMP (DIN 491-16)</t>
  </si>
  <si>
    <t>Asistencia Técnica de Control y Vigilancia, Adquisición e Instalación de Sistema de Mando y Presentación (SMP)</t>
  </si>
  <si>
    <t>Octubre 2024</t>
  </si>
  <si>
    <t>Empresa ingeniería principal</t>
  </si>
  <si>
    <t>1.605.701,86 $</t>
  </si>
  <si>
    <t>María Paz Padilla Condés, Departamento Ejecución de Expedientes, División de Contratación, Calle Peonías, 12, 6ª Planta, 28042 Madrid, Mail: mpardilla@aena.es, Tlf. 671.726.664 Ext. 311689</t>
  </si>
  <si>
    <t>La misión de la Asistencia Técnica es asesorar a Aena y realizar las actividades necesarias en los siguientes aspectos:
• Redacción de documentación, así como la asistencia a las reuniones asociadas a la Gestión del Cambio
• Supervisión de la redacción de la Documentación Técnica de la instalación. Supervisar y controlar las actividades de replanteo así como la redacción de la documentación técnica de la instalación y definición de características necesarias, soluciones propuestas, estudio de calidades, fases de ejecución, requisitos, condiciones generales, especificaciones técnicas, planes
• Redacción de modificados de los expedientes
• Control y supervisión del desarrollo del software
• Realización de estudios técnicos varios
• Revisión, control y supervisión del estado del Sistema SMP antes del inicio de la ejecución de las instalaciones
• Control, Supervisión y Dirección de las obras de las instalaciones a ejecutar
• Supervisión del desarrollo de la ejecución de la instalación, hasta la Aceptación, Recepción y puesta en servicio de los sistemas
• Gestión de control de calidad
• Vigilancia y control de ejecución, validación de replanteo, mediciones, relaciones valoradas, seguimiento del estado de avance y recepción de la instalación
• Supervisar y controlar las diferentes actividades de las instalaciones: replanteos, desarrollos de la ingeniería de detalle, instalaciones, realización de pruebas, demostraciones y puesta en servicio de los Sistemas
• Supervisión y auditoría de costes y del programa de trabajo
• Seguimiento de los planes de Seguridad y Salud y de vigilancia medioambiental
• Seguimiento y control del cumplimiento de los factores de seguridad operacional
• Realizar la coordinación de Seguridad y Salud
• Redacción de los Planes de pruebas de aceptación y de los informes de evaluación del sistema
• Realización de las pruebas definidas y los informes de evaluación del sistema
• Revisión de toda la documentación final de obra
• Verificación de la instalación ejecutada y comprobación de los parámetros operativos
• Realización de todas las actas de las reuniones durante la prestación de la A.T., así como el archivo y clasificación de toda la documentación
• Realización y actualización del plan de gestión de las diferentes instalaciones/expedientes por parte de la Asistencia Técnica</t>
  </si>
  <si>
    <t>Los servicios a prestar están clasificados según las distintas etapas existentes:
• Etapa 1. Fase previa a la contratación de los expedientes de instalación de SMP
     - Verificación de la situación actual del
     SMP
     - Informe de transición operativa
     - Gestión del cambio
     - Informes técnicos
• Etapa 2 (Fase de Supervisión de
   Redacción de Proyectos)
     - Control y supervisión de las actividades
     de replanteo en cada uno de los
     aeropuertos/helipuertos
     - Control de plazo de las Redacciones de
     los proyectos/documentación técnica
     - Intervención en la definición y diseño de
     los Sistemas. Propuesta de mejoras a los
     diseños presentados por los contratistas
     - Supervisión y revisión de las redacciones
     de los proyectos
     - Redacción de los Planes de detalles de
     Supervisión y Control de Calidad de las
     Instalaciones
     - Desarrollo de los planes de servicio
     previos al comienzo de las instalaciones
     - Desarrollo de los Planes de control de
     plazo y seguimiento de las instalaciones
     - Elaboración de los programas de
     revisión, verificación y aceptación de cada
     uno de los subsistemas
     - Revisión de los estudios o informes de
     impacto medioambiental de cada
     aeropuerto
     - Redacción de ampliaciones y
     modificados de los expedientes
• Etapa 2 (Fase de Control y Supervisión del
   Desarrollo del Software SD)
     - Especificación, definición y revisión de
     requisitos asociados al sistema
     - Revisión de documentación técnica,
     planes generales y específicos de la
     instalación, especificaciones, diseño,
     arquitecturas, manuales, procedimientos
     - Revisión del diseño y seguimiento del
     desarrollo del software
     - Revisión del diseño de las instalaciones, 
     adaptación del software al
     aeropuerto/helipuerto en cuestión
     - Definición de las condiciones de test
     - Supervisión y control de la instalación
     de maquetas, así como el control de las
     versiones
      - Supervisión y control de la realización de
     las pruebas necesarias en maqueta
      - Supervisión y control de la realización de
      las pruebas piloto
      - Planificación y definición de las posibles
      regresiones
• Etapa 2 (Fase de Ejecución de las Instalaciones)
       - Dirección de obra y ejecución
       - Seguimiento y control de los Planes de
       ejecución de las instalaciones
       - Seguimiento de los faseados y planes
       de faseado semanales
       - Ejecución de los Planes de Supervisión
       y Control de Calidad de las Instalaciones
       - Coordinación de las Interfaces de los
       Sistemas
       - Seguimiento y control de los programas
       de Aseguramiento de la Calidad
       - Seguimiento y control de los Programas
       de Aprovisionamiento y/o Fabricación de
       los Sistemas, y el de Inspección en Planta
       de los equipos y componentes de los
       expedientes
       - Seguimiento y control del Programa de
       Servicios de Instalación y de Pruebas de
       Comprobación de la Implantación de
       cada uno de los expedientes
       - Seguimiento y control del Programa de
       Desarrollo del Sistema Logístico de los
       Expedientes
       - Elaboración de informes de resultados
       e incidencias
       - Seguimiento y control de la integración
       de subsistemas
       - Redacción de los posibles modificados
       surgidos durante la ejecución de las
       instalaciones
       - Seguimiento y control de los programas
       de los planes de pruebas de aceptación
       de las partes del sistema
       - Realización, seguimiento y control de los
       Planes de Puesta en marcha de cada una
       de las fases y de las instalaciones
       completas de cada aeropuerto/helipuerto
       - Elaboración, seguimiento y control de
       los Planes de Contingencias del Sistema
       - Seguimiento y control de los Programas
       de Documentación final de las
       instalaciones de cada aeropuerto/
       helipuerto
       - Seguimiento y control del cumplimiento
       de las obligaciones contractuales y
       preparación de certificaciones
       - Elaboración y comprobación de las
       certificaciones mensuales
       - Organización, seguimiento y control del
       Programa de Entrenamiento del Personal
       de Aena para la Operación y
       Mantenimiento de los sistemas
       - Seguimiento, Control y Asistencia a las
       pruebas en fábrica o en el
       emplazamiento
       - Seguimiento y revisión de los Planes de
       vigilancia medioambiental en cada
       aeropuerto/helipuerto
       - Seguimiento y revisión de los Planes de
      Seguridad y Salud
       - Realización de las tareas como
       coordinador de Seguridad y Salud
       - Realización de las tareas de Seguridad
       Operacional
       - Realización de mediciones
       - Actas firmadas de las reuniones
       mantenidas con los contratistas, 
       representantes del aeropuerto y otros
       organismos oficiales
       - Control presupuestario
       - Verificación del replanteo realizado por
       el Contratista del expediente de
       instalación
       - Verificación de la aceptación y
       recepción de la instalación
       - Informes adicionales
• Etapa 2. Fase de Puesta en Marcha y Aceptación de la Instalación (PM)
       - Redacción de protocolos de pruebas
       en colaboración con el contratista de las
       instalaciones del SMP
       - Seguimiento y control del programa de
       pruebas de aceptación y puesta en
       marcha de cada uno de los sistemas.
       Dirección y control de todas las pruebas
       finales de las instalaciones
       - Desarrollo y coordinación de Pruebas
       de puesta en marcha con las distintas
       Direcciones para cumplir con los
       requisitos operativos exigidos y con los
       protocolos requeridos
       - Elaboración de un estudio sobre el
       estado final de las instalaciones
       ejecutadas así como de todas las
       partidas contempladas
       - Análisis de los parámetros operativos
       de las instalaciones ejecutadas
       - Confirmación del estado operativo de la
       instalación
       - Análisis de la Documentación Final de
       Obra entregada por el adjudicatario
       - Estudio de posibles mejoras
       - Redacción de informes resumiendo las
       características de las instalaciones y toda
       la información de interés disponible
       (manuales de operación y
       mantenimiento de los sistemas)
       - Subscribir los certificados final de obra
       - Seguimiento y control de los procesos
       de Gestión y obtención de los
       Certificados Oficiales relativos a la
       aprobación y legalización de todas las
       instalaciones
       - Ejecución de los Proyectos de
       Liquidación de las Instalaciones
       - Redacción de informes resumen final
       de todo el control de calidad y plan de
       pruebas, incluyendo planos
• Etapa 2. Fase Verificación de Instalación Ejecutada/Demostración del Sistema
       - Definición y redacción de formatos
       a utilizar y alcance de los informes de
       evaluación del sistema
       - Seguimiento y control del periodo de
      demostración del sistema
       - Supervisión y control de los valores de
       los parámetros de diseño, operación y
       calidad del sistema, mediante los
       informes de evaluación del sistema
       - Análisis de los parámetros operativos
      del sistema con la emisión de los informes
      de evaluación de su funcionamiento
       - Seguimiento y evaluación de los niveles
       operativos
       - Seguimiento de los puntos pendientes
       de la instalación
       - Colaboración con Aena para la
       realización del pliego de requisitos
       técnicos y económicos para la
       licitación del mantenimiento
       - Informe de incidencias, junto con su
       análisis e impacto en la operativa del
       aeropuerto/helipuerto
       - Informes adicionales posibles
       - Informe Final sobre la Realización, la
       Evaluación Operativa, la Mantenibilidad
       y la Disponibilidad de los equipos e
       instalaciones incluidos
       - Actualización de la base de datos con
       los elementos de la instalación e
       implantación en los programas de
       mantenimiento de Aena. Revisión y
       actualización de las modificaciones
       realizadas</t>
  </si>
  <si>
    <t>Calidad SEG Aena II</t>
  </si>
  <si>
    <t>Servicio Técnico de Control de Calidad de Seguridad Aeroportuaria en los aeropuertos</t>
  </si>
  <si>
    <t>222.550,28 $</t>
  </si>
  <si>
    <t>700.978,46 $</t>
  </si>
  <si>
    <t>El expediente descrito estuvo relacionado con el control de calidad de la seguridad aeroportuaria y con su normativa correspondiente.</t>
  </si>
  <si>
    <t>Se llevó a cabo el control de calidad AVSEC siguiendo los siguientes ejes principales:
• Realización de Ensayos de Intrusiones
     - Ensayos a los procedimientos de
     verificación de documentación
     - Ensayos de intrusiones de personas. 
     Separación de pasajeros
     - Ensayos de introducción de objetos
     prohibidos
• Realización de Ensayos sobre los Procedimientos de Seguridad Aeroportuaria
     - Procedimiento de Inspección de
     Pasajeros (tipo general, movilidad
     reducida, no acceden a través de APM)
     - Procedimiento de Inspección de Personal
     - Procedimiento de autorización de paso
     a la ZRS de trabajadores con artículos
     prohibidos
     - Procedimiento de Inspección del
     Equipaje de Mano
     - Procedimiento de Inspección del
     Equipaje de Bodega
     - Procedimiento de Inspección de
     Vehículos
     - Procedimiento de Inspección de
     Suministros
     - Procedimiento de Inspección de
     Animales Vivos
• Inspecciones de la aplicación de los Procedimientos de Seguridad Aeroportuaria
• Controles de Calidad del Servicio de Seguridad Privada</t>
  </si>
  <si>
    <t>Se produjeron dos prórrogas en junio de 2021 y junio de 2022. Asimismo, hubo un acuerdo de modificado del expediente en febrero de 2024, con un importe adicional de 29.784,57 €.</t>
  </si>
  <si>
    <t>Dem hotel MAD</t>
  </si>
  <si>
    <t>Asistencia Técnica en el Proyecto y Obra de la demolición de estructura del Hotel en el Aeropuerto Adolfo Suárez Madrid-Barajas</t>
  </si>
  <si>
    <t>115.364,36 $</t>
  </si>
  <si>
    <t>Los trabajos asociados a este proyecto y obra se correspondían con la demolición y adecuación de la zona de la estructura del hotel situado junto al Edificio Terminal T2 del Aeropuerto Adolfo Suárez Madrid-Barajas.</t>
  </si>
  <si>
    <t>El alcance de las tareas solicitadas a AIRIA constó de:
• Redacción, autoría y visado del proyecto de demolición, estudio de seguridad y salud y asesoría de un técnico experto en estructuras
• Revisión, firma del proyecto de demolición, visado en el colegio correspondiente y asesoría en materia de estructuras. Asesoría a los técnicos de Erri-Berri durante la redacción del proyecto de demolición
• Representación de la contrata durante la fase de obras mediante la aportación de un perfil técnico con las características exigidas en los pliegos de contratación</t>
  </si>
  <si>
    <t>Mtto SMP</t>
  </si>
  <si>
    <t>A.T. para Seguimiento y Control del Mantenimiento de Sistemas SMP de Ayudas Visuales de los aeropuertos y helipuertos de AENA y el asesoramiento técnico sobre el sistema</t>
  </si>
  <si>
    <t>Julio 2024</t>
  </si>
  <si>
    <t>291.275,44 $</t>
  </si>
  <si>
    <t>Isaac Alejo Orellana Quemada, Director del Expediente, Mail: iorellana@aena.es</t>
  </si>
  <si>
    <t>El objeto del contrato fue la prestación de servicios de Asistencia Técnica necesarios para la realización del Control y Vigilancia de los Expedientes de Mantenimiento de los Sistemas de Mando y Presentación (SMP) en los aeropuertos y helipuertos de Aena y el asesoramiento técnico sobre el sistema.</t>
  </si>
  <si>
    <t>Las principales tareas realizadas fueron:
• Comprobación instalación/historial técnico
• Revisiones preventivas básicas
    - Supervisión y control de las pruebas de
    elementos series
    - Supervisión y control de las pruebas de
    integración
    - Supervisión y control de las pruebas de
    operación del sistema
    - Participación en la realización de la
    verificaciónde los tiempos de respuesta
    - Revisión/verificación del estado de los
    equipos y/o el sistema tras los correctivos
    ocurridos desde la última visita de la A.T.
    - Firma de la correspondiente SSMPC
    - Elaboración de un informe de las tareas
    de la A.T. asociadas a las revisiones
    completas
• Revisiones preventivas completas
    - Supervisión y control de las pruebas de
    elementos series
    - Supervisión y control de las pruebas de
    integración
    - Supervisión y control de las pruebas de
    operación del sistema
    - Participación en la realización de la
    verificación de los tiempos de respuesta
    - Participación en la realización de la
    verificación de los tiempos de presentación
    alarmas
    - Formación de refresco al personal del
    aeropuerto/helipuerto de la operación del
    SMP
    - Revisión de la documentación de la
    instalación del SMP disponible en cada
    aeropuerto/helipuerto
    - Revisión/verificación del estado de los
    equipos y/o el sistema tras los correctivos
    producidos desde la última visita
    - Firma de la correspondiente SSMPC
    - Elaboración de un informe de las tareas
    de la A.T. asociadas a las revisiones
    completas
• Correctivos alcance de la DTIC
     - Establecer y definir el procedimiento y
     medios para la recepción y comunicación
     de las incidencias recibidas por el
     Contratista del Expediente de
     mantenimiento
     - Establecer y definir el procedimiento y
     medios para la recepción y comunicación
     de la comunicación a la DTIC de Aena de
     las incidencias alcance de su
     responsabilidad
     - Establecer y definir el procedimiento y
     medios para la recepción y comunicación
     de la recepción del cierre de la incidencia
     por parte de la DTIC de Aena
     - Supervisión de las tareas realizadas por
     el Contratista del Expediente de
     Mantenimiento
     - Supervisión y verificación del estado de
     la incidencia con el Coordinador del
     Aeropuerto/Helipuerto o en quien delegara
     - Revisión y verificación de las acciones
     correctivas cerradas, durante la
     realización de las revisiones preventivas
• Correctivos sin visita al aeropuerto/helipuerto
      - Establecer y definir el procedimiento y
      medios para la recepción y comunicación
      de las incidencias recibidas por el
      Contratista del Expediente de
      mantenimiento
      - Establecer y definir el procedimiento y
     medios para la recepción y comunicación
     del cierre de la incidencia
     - Supervisión de las tareas realizadas por
     el Contratista del Expediente de
     Mantenimiento
     - Supervisión y verificación del estado de la
     incidencia con el Coordinador del
     aeropuerto/helipuerto o en quien delegara
     - Revisión y verificación de las acciones
     correctivas cerradas durante la
     realización de las revisiones preventivas
• Correctivos con visita al aeropuerto/helipuerto
      - Establecer y definir el procedimiento y
      medios para la recepción y comunicación
      de las incidencias recibidas por el
      Contratista del Expediente de
      mantenimiento
      - Establecer y definir el procedimiento y
      medios para la recepción y comunicación
      de cierre de la incidencia
      - Supervisión de las tareas realizadas por
      el Contratista del Expediente de
      Mantenimiento
      - Supervisión y verificación del estado de
      la incidencia con el Coordinador del
      aeropuerto/helipuerto o en quien delegara
      - Revisión y verificación de las acciones
      correctivas cerradas, durante la
      realización de las revisiones preventivas
• Traslado puesto del SMP
      - Supervisión y verificación del replanteo
      realizado por el contratista del expediente
      de mantenimiento
      - Asistencia a todas las reuniones de
      coordinación con las distintas partes
      implicadas
      - Seguimiento y control del programa
      establecido para el traslado del puesto de
      control
      - Realización de mediciones
      - Redacción de los protocolos de
      pruebas, en colaboración con el
      contratista del expediente de
      mantenimiento, para la confirmación de la
      correcta operación del puesto en la nueva
      ubicación
      - Asistencia a las pruebas de de transición
      a la nueva ubicación
      - Asistencia a la puesta en marcha del
      puesto de control en su nueva ubicación
      - Seguimiento y control de los primeros
      días de operación del puesto, en la nueva
      ubicación
• Adquisición y gestión de repuestos</t>
  </si>
  <si>
    <t>AIRIA forma parte de una UTE junto con VIARIUM. Falta encontrar la parte presupuestaria correspondiente a cada empresa. Se han producido en el expediente dos prórrogas, en julio de 2022 y julio de 2023.</t>
  </si>
  <si>
    <t>DF Puerto Algeciras</t>
  </si>
  <si>
    <t>Asistencia Técnica para la Definición Estratégica del Proyecto de Remodelación de la Terminal de Pasajeros del Puerto de Algeciras</t>
  </si>
  <si>
    <t>Algeciras</t>
  </si>
  <si>
    <t>340.498,31 $</t>
  </si>
  <si>
    <t>307.011,33 $</t>
  </si>
  <si>
    <t>Autoridad Portuaria de la Bahía de Algeciras</t>
  </si>
  <si>
    <t>Carlos Alberto Sánchez Coello, Responsable de Servicio al Pasaje, Área de Operaciones Terrestres, Subdirección General de Explotación, Avenida Hispanidad 2, 11207 Algeciras, Mail: casanchez@apba.es, Tlf. 956.585.400/220</t>
  </si>
  <si>
    <t>El objeto del contrato fue la contratación de una asistencia técnica para la definición estratégica del proyecto de remodelación de la terminal de pasajeros del puerto de Algeciras. La definición estratégica requerida para la futura remodelación abarcó conceptos tanto a nivel de infraestucturas necesarias, como de adecuación de espacios y soluciones operativas y tecnológicas a implementar, que redundieran en una optimización de los procesos operativos, de los flujos de pasajeros, de espacios requeridos, de nuevas funcionalidades energéticas y medioambientales así como garantizar la eficiencia en la gestión de los distintos servicios prestados y en sus costes de explotación, cumpliendo con los niveles de seguridad exigidos.</t>
  </si>
  <si>
    <t>Los trabajos realizados por la UTE fueron:
• Fase 1. Análisis situación existente
   - Recopilación de antecedentes y descripción de las instalaciones presentes
   - Obtención de información sobre todas las
   actividades y servicios que se desarrollaban  
   en la estación marítima, así como todos los 
   que se preveía que se prestaran en dicho 
   edificio en los años venideros
    - Operativas de embarque y desembarque 
    de pasajeros
    - Análisis de las soluciones tecnológicas 
    utilizadas en la terminal de pasajeros para  
    la gestión y control de los procesos de 
    embarque y desembarque de pasajeros
     - Estudio de demanda de tráfico
• Fase 2. Estudio comparativo
     - Estudio comparativo de terminales de
     transporte de pasajeros seleccionadas
• Fase 3. Presentación y análisis de soluciones propuestas
     - Documento de análisis valorado de
     soluciones propuestas
• Fase 4. Diseño funcional
      - Memoria justificativa
      - Planos de situación y emplazamiento de
      superficies
      - Planos de planta y secciones generales
      - Esquema de organización funcional en la
      terminal con las superficies requeridas
      para todas las actividades
      - Esquemas de flujos requeridos para
      todas las actividades
      - Esquema de los flujos de movilidad de
      los pasajeros PMR en las infraestructuras
      - Esquemas de instalaciones y estructuras
      requeridas para la solución propuesta
      - Esquemas de sustituciones y
      demoliciones según las estructuras
      nuevas propuestas
      - Propuesta de medidas y condicionantes
      a tener en cuenta en la remodelación del
      edificio para asegurar la certificación
      ambiental VERDE o similar
      - Propuesta de actuación para el
      cumplimiento de la protección contra-
      incendios y evaluación en la solución
      propuesta
      - Propuesta de mejoras de aislamiento
      térmico y acústico del edificio existente
      para cumplir con los requerimientos de
      eficiencia energética y demás normativa
      - Estudio de afección y aseguramiento
      de la operatividad de las instalaciones
      durante las obras
      - Presupuesto estimativo de las obras</t>
  </si>
  <si>
    <t>ATCV Cuzco</t>
  </si>
  <si>
    <t>Mejoramiento y Ampliación del Servicio Aeroportuario en la Región Cusco mediante el Nuevo Aeropuerto Internacional de Chinchero-Cusco (AICC)</t>
  </si>
  <si>
    <t>Cusco</t>
  </si>
  <si>
    <t>Marzo 2027</t>
  </si>
  <si>
    <t>13.998.277,79 $</t>
  </si>
  <si>
    <t>1.055.791,80 $</t>
  </si>
  <si>
    <t>Ministerio de Transportes y Comunicaciones</t>
  </si>
  <si>
    <t>Carlos Fernandez Esteban, Director de la PMO, Mail: cfe.ia@coiae.com</t>
  </si>
  <si>
    <t>El contratista es reponsable del diseño detallado del nuevo aeropuerto AICC, teniendo en cuenta los siguientes objetivos:
- Supervisar y aprobar el diseño del Contratista del Contrato de Construcción de Obras Principales para asegurar su cumplimiento
- Supervisar la ejecución del Contrato de Construcción de Obras Principales para garantizar su calidad y la finalización oportuna
- Guiar la puesta en operación y el apoyo de la ORAT del Contratista
- Supervisar el Contrato de Construcción de Obras Principales durante el Periodo de Notificación de Defectos (PND)
- Realizar el cierre del Contrato de Construcción de Obras Principales y el Contrato de Supervisión de Obras Principales
- Asistir a la PMO a decidir los términos de las Variaciones de Costos y Extensión del Plazo del Contrato de Construcción de Obras Principales
- Asegurar que la protección ambiental y las salvaguardas sociales se apliquen adecuadamente de acuerdo con los requerimientos</t>
  </si>
  <si>
    <t xml:space="preserve">Las tareas detalladas de los trabajos se especifican a continuación:
• Inicio del servicio y revisión del diseño
     - Coordinación de la movilización del
     Equipo de Supervisión y la preparación de
     servicios con la PMO y el MTC
     - Presentación del Informe de Inicio
     - Presentación del Informe de Revisión
     Técnica, incluyendo IGA, PMA, Programa
     de Participación Social, y Plan de Gestión
• Supervisión del diseño
      - Verificación y aprobación del diseño
      detallado en términos de costo-beneficio
      y las interfaces de diseño
      - Revisión y emisión del certificado de
      pago de los entregables de diseño
• Supervisión de la construcción y gestión de contratos
      - Supervisión de la ejecución del Contrato
      de Construcción de Obras Principales. 
      Supervisión de la calidad de la
      construcción de los trabajos
      - Administración del Contrato de
      Construcción de Obras Principales
      - Llevar a cabo las tareas definidas en el
      Contrato de Supervisión y todas las
      tareas asignadas en el Contrato de
      Construcción de Obras Principales
      - Asegurar el cumplimiento de los
      manuales y procedimientos de gestión de
      riesgos y garantía de la calidad
      - Elaboración de un cronograma que
      que describa la interrelación de las
      diversas tareas en el trabajo, indicando la
      finalización de los trabajos y el
      mecanismo de coordinación con el cliente
      - Elaboración y actualización de los
      manuales y procedimientos de gestión de
      riesgos y garantía de la calidad durante la
      construcción y puesta en operación de las
      obras, y establecimiento del sistema de
      documentación para la supervisión de la
      construcción en coordinación con el PMO
      - Elaboración de documentación gráfica
      durante la ejecución de la construcción
      - Participación en auditorías ambientales
      con competencia de supervisión y
      fiscalización del proyecto
• Puesta en marcha y etapa de ORAT
      - Revisión y aprobación del Plan de
     Puesta en marcha del contratista
     - Participación en la prueba previa a la
     puesta en marcha
     - Revisión y aprobación del Manual de
     Operación y Mantenimiento </t>
  </si>
  <si>
    <t>Desarrollo GIS MAD</t>
  </si>
  <si>
    <t>Servicio de Mantenimiento y Actualización del Desarrollo GIS de Patrimonio del Aeropuerto Adolfo Suárez Madrid-Barajas</t>
  </si>
  <si>
    <t>Diciembre 2024</t>
  </si>
  <si>
    <t>123.223,83 $</t>
  </si>
  <si>
    <t>El expediente tiene como objetivo la realización de las tareas necesarias para mantener actualizados los datos Patrimoniales del Aeropuerto en el Desarrollo Propio GIS-Patrimonio, accesible a través del portal OT.</t>
  </si>
  <si>
    <t>Las tareas relativas al expediente son:
• Revisión y actualización de la información gráfica en formato DIACAE de áreas, edificios, terrenos e instalaciones del aeropuerto, incluyendo todas las modificaciones necesarias para la puesta al día de dicha información en la aplicación
• Recopilación y toma de datos "in situ" de toda la información necesaria para la actualización de las distintas superficies, terrenos y edificios en la aplicación
• Asesoramiento técnico y supervisión de todo el proceso de carga de datos en SIGRA y otras bases de datos corporativas, realizando informes, manuales o cualquier otra documentación requerida
• Actualización del Documento de Normas Internas del Aeropuerto
• Actualización de los datos de las áreas y las ubicaciones de los activos que conforman el Patrimonio del Aeropuerto en el sistema SAP - Activos Fijos y Contabilidad
• Inclusión de fotografías y referencia catastral de edificios, terrenos e instalaciones en la aplicación</t>
  </si>
  <si>
    <t>Se han producido dos prórrogas anuales, entrando en vigor en diciembre de 2022 y diciembre de 2023, sin revisión de precios.</t>
  </si>
  <si>
    <t>PD Al Abraq Libia</t>
  </si>
  <si>
    <t>Consultoría para la Elaboración del Plan Maestro del Aeropuerto Internacional de Al-Abraq - Libia</t>
  </si>
  <si>
    <t>Al-Abraq</t>
  </si>
  <si>
    <t>Septiembre 2023</t>
  </si>
  <si>
    <t>208.721,66 $</t>
  </si>
  <si>
    <t>Libyan Airports Authority</t>
  </si>
  <si>
    <t>162.150,71 $</t>
  </si>
  <si>
    <t>Wael Shawish, LAA Design and Specification Department, Mail: shawishwael@yahoo.com</t>
  </si>
  <si>
    <t>El alcance del contrato incluía el estudio y análisis de los datos existentes del Aeropuerto Internacional de Al-Abraq y la preparación del Plan Maestro de la instalación, incluyendo los equipos y proyectos existentes a implementar en el futuro con el fin de garantizar la racionalización de cualquier expansión y proyectos requeridos según las expectativas, el tamaño y diversidad del aeropuerto.</t>
  </si>
  <si>
    <t>Las tareas realizadas en el estudio del Plan Maestro del aeropuerto fueron:
• Fase 1
    - Recopilación de datos sobre la
    infraestructura de las instalaciones
    aeroportuarias, el tráfico aéreo y la
    situación económica y social de la ciudad
    (análisis del espacio aéreo, obstáculos,
     desarrollo ambiental, desarrollo de
     instalaciones, inventario, pronósticos,
     análisis de la capacidad de demanda,
     requisitos de las instalaciones,
     impactos ambientales)
     - Análisis de datos y traducción de factores
     básicos tomados en cuenta en la
     elaboración del Plan Maestro
• Fase 2
     - Estudio de las necesidades del
     aeropuerto respecto a terminal de
     pasajeros, instalaciones para la operación
     y el área de mantenimiento de aeronaves
• Fase 3
     - Elaboración de un informe técnico para
     cada componente de los subcomponentes
     aeroportuarios
     - Elaboración de recomendaciones para
     especificaciones técnicas de ingeniería
     - Elaboración de mediciones iniciales para
     la presentación y coste estimados para las
     etapas de desarrollo
      - Elaboración de una visualización de las
      etapas posteriores de la ingeniería de
      detalle, programadas en el tiempo</t>
  </si>
  <si>
    <t>AYTO MADRID LOTE 4</t>
  </si>
  <si>
    <t>Enero 2026</t>
  </si>
  <si>
    <t>1.680.314,10 $</t>
  </si>
  <si>
    <t>Área de Gobierno de Obras y Equipamientos</t>
  </si>
  <si>
    <t>Trabajos de Apoyo a la Redacción de Proyectos de Ejecución de Obras para la Dirección General de Arquitectura y Conservación del Patrimonio (4 lotes), LOTE 4</t>
  </si>
  <si>
    <t>Alfonso Murga de Mendoza, Director General, Dirección General de Arquitectura y Conservación del Patrimonio, Calle Alcalá, 45, Planta 6ª, 28014 Madrid, Mail: murgama@madrid.es</t>
  </si>
  <si>
    <t>El objeto del Acuerdo Macro es la realización de los trabajos de apoyo a la Redacción de Proyectos de Ejecución de obras necesarios para llevar a cabo inversiones de obras nueva, demolición, ampliación, reformas o rehabilitación sobre inmuebles o parcelas municipales.</t>
  </si>
  <si>
    <t>A nivel general, se aporta la documentación que determina el CTE, si bien se contempla aquellas memorias de cálculo, planos, estudios, etc. necesarios para la definición de las obras a realizar. En este sentido, la documentación en cuestión es:
• Memoria
• Anejos
   - Normas de obligado cumplimiento
   - Accesibilidad
   - Planificación
   - Informe geotécnico
   - Movimiento de tierras
   - Estructuras
   - Instalaciones: Fontanería, Saneamiento,
   Eléctrica, Climatización, Fotovoltaica,
   Telecomunicaciones, PCI
   - Certificación Energética
   - Plan de Control de Calidad
   - Gestión de residuos
   - Normas Actuación Emergencia
   - Instalaciones Uso y Conservación
• Pliego de Prescripciones Técnicas
• Estudio de Seguridad y Salud
• Planos
   - Planos de Arquitectura
   - Planos de Estructura
   - Planos Instalaciones
• Mediciones y presupuesto
   - Mediciones y presupuesto
   - Precios unitarios/descompuestos
   - Resumen general del presupuesto
   - Declaración responsable</t>
  </si>
  <si>
    <t>Biblioteca Vallecas: 5.679.202,68 €
Biblioteca Carabanchel: 5.155.756,36 €
Factoría Industrial: 7.421.438,05 €
CAF: 5.880.492,33 €
CIFSE: 10.852.127,90 €
Escuela Música: 3.624.320,75 €
Escuela Infantil: 4.331.343,23 €
Centro de Mayores: 5.417.774,98 €
Voley Playa: 2.082.528,77 €
UID: 5.454.062,68 €
CJ Ciudad Lineal: 4.493.702,73 €
Est. Vibraciones: 2.807,66 €
Mod. Rugby: 1.399.202,65 €
Centro Juvenil: 4.493.702,73 €</t>
  </si>
  <si>
    <t>INECO AM Planificación</t>
  </si>
  <si>
    <t>Servicios de Apoyo en Planificación Aeroportuaria</t>
  </si>
  <si>
    <t>Marzo 2024</t>
  </si>
  <si>
    <t>595.284,59 $</t>
  </si>
  <si>
    <t>María Magdalena Bodelón Alonso, INECO, Paseo de la Habana, 138, 28036 Madrid</t>
  </si>
  <si>
    <t>El objeto del expediente es la prestación de servicios de apoyo en las tareas relacionadas con la planificación aeroportuaria.</t>
  </si>
  <si>
    <t>Las tareas a desarrollar incluyen, además del Plan Director de un aeropuerto, otras actividades más específicas, como:
• Diseño funcional de edificios terminales
• Análisis de las infraestructuras e instalaciones
• Análisis de tráfico aéreo
• Estudios de demanda de tráfico aéreo
• Cálculo de capacidad de las infraestructuras, tanto analíticamente como con simulación
• Estudios de necesidades
• Simulaciones
• Estudios previos a la licitación de concesiones</t>
  </si>
  <si>
    <t>1.190.569,18 $</t>
  </si>
  <si>
    <t>Patrimonio III</t>
  </si>
  <si>
    <t>Servicio de Mantenimiento, Revisión y Actualización del Inventario de Activos del Aeropuerto Adolfo Suárez Madrid-Barajas</t>
  </si>
  <si>
    <t>Agosto 2022</t>
  </si>
  <si>
    <t>110.665,54 $</t>
  </si>
  <si>
    <t>Miguel Ángel López Díaz, Departamento de Contratación y Asuntos Generales, División Económico-Administrativa, Avenida de la Hispanidad s/n, 28042 Madrid, Mail: maldiaz@e-externas.aena.es, Tlf. 91.324.32.18 Ext. 43218</t>
  </si>
  <si>
    <t>El alcance de este expediente comprendió la realización de las actividades de mantenimiento, revisión y actualización del inventario de activos del Aeropuerto Adolfo Suárez Madrid-Barajas durante los años 2022-2025, para dar cumplimiento al principio contable de "imagen fiel" de la situación patrimonial real y, por otra parte, debido a la necesidad interna de Aena de identificar, controlar y custodiar sus activos.</t>
  </si>
  <si>
    <t>Los distintos servicios realizados por AIRIA fueron:
• Revisión y actualización trianual del inventario del Aeropuerto
   - Trabajo de campo para la toma de datos
   - Determinación de la clase de inmovilizado:
   determinación de ubicaciones, áreas y
   centros de coste
   - Verificación sobre listado y/o plano
   - Etiquetado y fotografía de los activos
   - Mecanización de los datos obtenidos
• Asesoramiento en la realización de datos altas, bajas y traslado de activos fijos
   - Recepción de la información
   - Determinación de la clase de inmovilizado
   - Determinación de ubicaciones, áreas y
   centros de coste
   - Bajas de activos fijos
   - Traslado de activos fijos
• Asesoramiento en la actualización de Áreas de Patrimonio
• Gestión y supervisión de los activos ubicados en el Almacén M15
• Otras actividades relacionadas con el inventario
   - Inventarios específicos de algún edificio,
   zona o instalación del aeropuerto
   - Realización de informes necesarios para
   la correcta documentación de los servicios
   realizados durante la vigencia del
   expediente</t>
  </si>
  <si>
    <t>Se produjo una prórroga anual del contrato, según lo establecido en el mismo, sin variación en sus condiciones o importe total.</t>
  </si>
  <si>
    <t>Agosto 2024</t>
  </si>
  <si>
    <t>PM-ATDOCV ESTE L2</t>
  </si>
  <si>
    <t>AT DE PM Y ATDOCV para los Aeropuertos de la red de Aena Lote Norte y Este. Lote Este</t>
  </si>
  <si>
    <t>Project Management/Asistencia Técnica</t>
  </si>
  <si>
    <t>Este</t>
  </si>
  <si>
    <t>Julio 2026</t>
  </si>
  <si>
    <t>UTE</t>
  </si>
  <si>
    <t>27.990.051,22 $</t>
  </si>
  <si>
    <t>6.997.512,81 $</t>
  </si>
  <si>
    <t>Lidia García Cózar, Jefa del Departamento de Seguimiento de Proyectos y Calidad, Dirección de Proyectos y Construcción-DT</t>
  </si>
  <si>
    <t>El objeto del presente contrato es la prestación de servicios de asistencia técnica de gestión y control de los Proyectos (Project Management) que corresponda y que involucra a todas las actuaciones a desarrollar en un determinado ámbito geográfico a definir, incluidas también las Direcciones Técnicas de los proyectos constructivos, la Coordinación Técnica, la Dirección de obra y el Control y Vigilancia de la misma.</t>
  </si>
  <si>
    <t xml:space="preserve">Los trabajos a desarrollar en cada uno de los lotes son:
• Descripción de las actividades a realizar de supervisión y gestión del proyecto (Project Management)
   - Participar en la definición y asumir la
   metodología de trabajo definida por Aena
   - Definir la estructura organizativa del PM
   propia para la gestión y el control
   - Proponer una estructura funcional y
   jerarquizada en la que se definan y
   describan las funciones y responsabilidades
   - Definir una Matriz de Responsabilidades
   - Elaborar y actualizar un Plan de
   Actuaciones del Aeropuerto que contenga
   todos los PGA de cada una de las Líneas
   de Actuación del Aeropuerto planificadas
   o en curso
   - Elaborar el Plan de Gestión de Riesgos
   que permita identificarlos y planificar una
   respuesta y hacer un seguimiento
   - Realizar un entregable para cada LDA
   del aeropuerto resumiendo los datos
   principales de cada proyecto
   - Coordinar a todas las empresas
   involucradas
   - Proponer una Estrategia de Contratación
   de las obras correspondientes
   - Coordinar la totalidad de las obras entre
   las distintas unidades intervinientes
   - Coordinar los modelos BIM en fase de PM
   - Colaborar en la elección y toma de
   decisión de la herramienta de gestión de
   proyectos definida en la descripción de las
   actividades de la PMO
   - Organizar y levantar actas de las reuniones
   - Elaborar informes periódicos de
   seguimiento y específicos
   - Realizar Informes del avance de los
    proyectos y obras vigentes
   - Definir una Estrategia de mantenimiento
   de las nuevas infraestructuras según se
   requiera
   - Desarrollar y Controlar un Plan General de
   Actuación (PGA) para cada LDA de cada
   aeropuerto
   - Detectar y definir dentro del PAA los
   diferentes hitos que marcarán una entrega
   parcial entre modelos PIM de obra de
   distintos PGA que se lleven a cabo de forma
   simultánea 
• Descripción de las actividades a realizar de Asistencia Técnica Dirección de Obra y Control y Vigilancia (ATDOCV)
   - Realizar la Dirección Facultativa de las
   obras
   - Dar solución técnica a las incidencias y
   contingencias que se produzcan en el
   desarrollo de la obra y consignar en el libro
   de órdenes
   - Verificar el replanteo y la viabilidad del
   proyecto, y en el caso de edificación, la
   comprobación de la cimentación y
   estructura y proyectada a la geotecnia del
   terreno
   - Proponer al Director del Expediente de
   Obra las modficaciones del proyecto que
   regularicen las incidencias surgidas
   - Redactar el Proyecto Modificado y Visarlo
   - Suscribir el Acta de replanteo, el Acta de
   recepción y el certificado final de obra con
   los visados preceptivos
   - Cumplimiento de la normativa de
   Seguridad y Salud
   - Velar por el cumplimiento de plazos
   parciales y total de ejecución
   - Control económico de la inversión
   detectando cualquier posible desviación
   presupuestaria
   - Impulsar y controlar el cumplimiento de
   los requisitos de Calidad mediante la
   aprobación del Plan de Aseguramiento de
   la Calidad
   - Impulsar y controlar el cumplimiento de los
   requisitos ambientales
   - Compatibilizar la ejecución de las obras
   con la normal operación del aeropuerto
   - Impulsar y controlar la seguridad operativa
   de las obras
   - Realizar todos los informes necesarios
   previos al inicio de las obras, durante las
   obras y posteriores a su finalización
   - Revisión de la DFO y entre de los informes
   finales
   - Impulsar y controlar el cumplimiento de los
   requisitos de los modelos de información
   BIM de la obra para su seguimiento de
   tareas y presupuesto asociado
   - Velar por una correcta gestión documental
   a través del CDE
   - Tareas relacionadas con la supervisión y
   control antes del inicio de la ejecución de
   las obras
   - Servicios de supervisión y control.
   Trabajos durante la ejecución de las obras
   - Tareas relacionadas con el registro y
   archivo de la información de control
• Descripción de la A.T. de Asesoramiento Técnico Especializado al Aeropuerto
   - Asistencia a reuniones y elaboración de
   actas de reunión
   - Elaboración de informes y estudios de
   seguridad y facilitación
   - Adaptación de procedimientos,
   instrucciones y manuales de seguridad
   - Asistencia y supervisión de puestas en
   esterilizaciones
   - Coordinación con estructuras aeropuerto
   y FFCCSE
   - Gestión de la información de la obra que
   se desarrolla a través de modelos de
   información BIM
   - Elaboración de faseado en lo referente
   a los controles de seguridad y de
   pasaportes
   - Estudio de afecciones a implicados y
   terceros
   - Estudio de nuevos flujos de pasajeros y
   capacidades
   - Estudio de filtros alternativos y controles
   de pasaportes alternativos para las fases de
   ejecución
   - Estudio de la señalética y
   direccionamiento de pasajeros en terminal
   para uso de filtros según fases
   - Ubicación provisional de información
   - Diseño operativo de los filtros de
   seguridad y controles de pasaportes,
   XOVIS, puertas automáticas, líneas,
   videowalles, mostradores
   - Coordinación e información a afectados,
   Guardia Civil, FRONTERAS, otras unidades
   del aeropuerto, etc.
   - Supervisión e instalación de equipamiento
   de seguridad
   - Supervisión e instalación elementos de
   facilitación en filtro de seguridad y control
   de seguridad
   - Puesta en marcha fases
   - Pruebas y puesta en explotación del
   equipamiento de seguridad
   - Formación a la Guardia Civil y Seguridad
   Privada en nuevos elementos y equipos
   - Coordinación con otras unidades del
   Aeropuerto, Producción, Servicios
   Aeroportuarios, Operaciones e Infraestruc-
   turas
   - Revisión de proyectos desde el punto de
   vista de seguridad operacional
   - Realización y apoyo a las gestiones de
   riesgos de los proyectos y obras
   - Realización de la gestión del cambio
   - Tramitación con AESA de la gestión del
   cambio
   - Revisión y aprobación de los PVSO.
   Seguimiento de sus actuaciones
   - Seguimiento del Plan de subsanación y
   gestiones con AESA
   - Gestión de la información de la obra a
   través de modelos de información BIM
   - Revisión de los estudios de capacidad y
   necesidades de la Dirección de Planificaci-
   ón y Medio Ambiente
   - Seguimiento de la previsión de necesida-
   des de los estudios de dicha Dirección y
   contraste con la evolución real del tráfico
   para la identificación de necesidades
   adicionales
   - Definición de soluciones locales para
   adecuar la capacidad como plan de
   contingencia en caso de desviaciones del
   plan de Inversiones
   - Definición de detalle del alcance de los
   proyectos
   - Soporte de traspaso de conocimiento de
   la operativa del aeropuerto para definición
   de las fases de obra a incluir en la planific-
   ación de ejecución de obra
   - Revisión de los proyectos para comprob-
   ación de que los requisitos han sido
   contemplados
   - Coordinación de la planificación de las
   obras para minimización del impacto
   operativo
   - Adaptación de los programas de obra
   a las fechas concretas de ejecución para
   minimización del impacto operativo
   - Resolución de desviaciones de la solución
   por cambios de marco temporal
   - Coordinación de publicación de
   información aeronáutica definitiva
   - Soporte para la identificación de
   necesidades de adaptación de las estrate-
   gias de asignación de medios durante la
   ejecución de obras
   - Analizar los flujos de los procesos de
   salida y llegadas
   - Analizar y definir los accesos y
   superficies de aparcamiento y/o carga y
   descarga, criterios de diseño, análisis de
   afecciones, búsqueda de medidas mitiga-
   doras
   - Analizar las necesidades de las aerolíneas
   y agentes de Handling
   - Coordinación con los distintos servicios,
   reubicación de SIPAS, nuevas necesidades
   de voz/datos, entre las distintas áreas del
   aeropuerto
   - Llevar a cabo tareas de documentación de
   las peticiones
   - Asistir a las reuniones y replanteos
   necesarios
   - Realizar las tareas de asesoramiento
   técnico en temas de gestión comercial
   - Realizar las tareas de asesoramiento
   técnico en ingeniería y mantenimiento:
   campo de vuelo, conservación de edificios,
   instalaciones de edificios, instalaciones
   especiales, oficina técnica
   </t>
  </si>
  <si>
    <t>AIRIA forma parte de una UTE (25%) junto con AERTEC (37,5%) y PROINTEC (37,5%).</t>
  </si>
  <si>
    <t>PMRs ALC 2022</t>
  </si>
  <si>
    <t>Servicio de Seguimiento y Supervisión del Servicio de Asistencia a PMR y otros servicios aeroportuarios en el Aeropuerto Alicante-Elche Miguel Hernández</t>
  </si>
  <si>
    <t>49.231,67 $</t>
  </si>
  <si>
    <t>Belén Gisbert Sánchez, Jefa Sección Planificación de Servicios, Mail: mbgisbert@aena.es, Tlf. 667.181.334</t>
  </si>
  <si>
    <t>La actividad principal del expediente fue el seguimiento y supervisión del Servicio de Asistencia a PMR. No obstante, también se realizó el seguimiento y supervisión de otros servicios aeroportuarios como el servicio de limpieza, servicio de información y atención al público, servicio de carros portaequipajes, servicio de señalización aeroportuaria, etc.</t>
  </si>
  <si>
    <t>Los servicios realizados por parte de AIRIA fueron:
• Realización de informes en los que se verificara el cumplimiento por parte del prestador del Servicio de asistencia a PMR de los niveles de calidad de servicio
   - Informe Semanal
   - Informe Mensual
   - Informes puntuales
• Seguimiento y gestión de las incidencias producidas en la prestación de asistencias a PMR
• Supervisión de la gestión ambiental y de Seguridad Operacional del servicio
• Realización de actividades de toma de datos
• Gestión de incidencias y reclamaciones respecto a otros servicios aeroportuarios
• Realización de informes puntuales, de forma análoga a lo descrito en el servicio a PMR
• Realización de toma de datos puntual
• Informe diario de seguimiento del tiempo de respuesta ante incidencias por parte del adjudicatario del servicio de limpieza
• Seguimiento de Plan de Servicio, mediante muestro y elaboración de informes
• Seguimiento diario de los horarios de apertura y cierre de los mostradores de información y atención al público
• Tiempo de atención a los pasajeros que esperan para ser atendidos
• Informe mensual del seguimiento de los horarios de apertura y cierre
• Seguimiento puntual del estado de la señalización o trabajos realizados por parte del adjudicatario del servicio de señalización</t>
  </si>
  <si>
    <t>No aparece CBE o Acta Final de Liquidación, o una prórroga del contrato.</t>
  </si>
  <si>
    <t>Helipuerto Nuevo HULP</t>
  </si>
  <si>
    <t>Servicio de Consultoría para la integración de un nuevo helipuerto en HULP</t>
  </si>
  <si>
    <t>42.464,38 $</t>
  </si>
  <si>
    <t>Miguel Martín, Calle Aniceto Marinas 100, 3º, 28008 Madrid, Mail: mms@burgos-garrido.com, Tlf. 91.748.93.27</t>
  </si>
  <si>
    <t>Entre las tareas principales del servicio, se definieron:
• Análisis de las afecciones a la operación de los helicópteros por el Plan Prolongación de la Castellana
• Definición de las trayectorias de aproximación y de ascenso en el despegue, complementadas con un estudio de obstáculos
• Definición de la configuración geométrica del futuro helipuerto en base a los helicópteros de diseño asociados a la Comunidad de Madrid y de aquellos que potencialmente podían ser usuarios de la infraestructura en casos de emergencia
• Definición de las instalaciones de protección contra incendios, ayudas visuales, instalaciones eléctricas, fuentes primarias y secundarias de alimentación, así como cualquier otra necesaria para el correcto funcionamiento de la infraestructura
• Análisis de las cargas producidas por cada uno de los helicópteros de diseño en despegues y aterrizajes y coordinación con el equipo de dimensionamiento de las estructuras
• Definición del vallado de seguridad, conforme a normativa y a las performances de los helicópteros de diseño</t>
  </si>
  <si>
    <t>UTE CAMPO DE RETAMAS</t>
  </si>
  <si>
    <t>El objeto del contrato fue la configuración de un nuevo helipuerto que diera servicio al conjunto hospitalario sobre la cubierta del nuevo edificio proyectado como Hospital de Adultos. Los trabajos incluyeron el establecimiento de un Plan Especial de Nueva Ordenación del HULP, y la redacción de un Proyecto Básico y un Proyecto de Ejecución, que estuvo formado por Memorias, Planos, Anejos, un Pliego de Prescripciones Técnicas, Mediciones y Presupuestos.</t>
  </si>
  <si>
    <t>PC LA Tarapoto</t>
  </si>
  <si>
    <t>Elaboración del Expediente Técnico de la Inversión de Rehabilitación del Lado Aire y Ampliación Marginal del Cerco Perimétrico del Aeropuerto Cadete FAP Guillermo del Castillo Paredes de la Ciudad de Tarapoto</t>
  </si>
  <si>
    <t>Tarapoto</t>
  </si>
  <si>
    <t>Marzo 2023</t>
  </si>
  <si>
    <t>Diciembre 2026</t>
  </si>
  <si>
    <t>Aeropuertos del Perú S.A.</t>
  </si>
  <si>
    <t>1.109.802,04 $</t>
  </si>
  <si>
    <t>Julio Villegas, Jefe de Proyectos, Jr. Doménico Morelli 110, Piso 5 - San Borja, Mail: julio.villegas@adp.com.pe, Tlf. +51.1.513.3800 Anexo 54001</t>
  </si>
  <si>
    <t>Los objetivos de la consultoría son:
• Elaborar y gestionar la aprobación del Expediente Técnico de Obra para la "Inversión de Rehabilitación del Lado Aire e Inversión de Optimización del Cerco Perimétrico del Aeropuerto de Tarapoto"
• Desarrollar los Instrumentos de Gestión Ambiental (IGA) aplicables y gestionar su aprobación y/o certificación ambiental
• Desarrollar los documentos técnicos necesarios para gestionar y obtener los permisos, licencias y demás autorizaciones que permitan la aprobación y ejecución de la obra</t>
  </si>
  <si>
    <t>Los trabajos a desarrollar incluyen:
• Realizar la inversión de rehabilitación de los pavimentos del área de movimiento (pista, franja de pista, márgenes de pista, calles de rodaje y márgenes y franja de calles de rodaje), los drenajes existentes en el área de movimiento, área de seguridad en extremo de pista (RESA), ayudas visuales (señalización horizontal y vertical) para llegar a las condiciones estructurales y funcionales iniciales y los establecidos en la RAP 314
• Realizar la inversión de Ampliación Marginal de cerco perimétrico, via perimetral e iluminación de la misma, así como el diseño de las Casetas de Control de Vigilancia y Control de Accesos
• Realizar la ingeniería de detalle que corresponde al ETE: estudios de campo, memorias de cálculo, memorias descriptivas, planos de detalle, especificaciones técnicas, metrados, costos, presupuestos, planes de trabajo, planes de seguridad operacional, etc.
• Elaborar los Instrumentos de Gestión Ambiental aplicables, términos de referencia, Plan de Participación Ciudadana, aprobación y/o certificación ambiental ante la autoridad competente</t>
  </si>
  <si>
    <t>Air City MAD</t>
  </si>
  <si>
    <t>Revisión de la viabilidad económica del Proyecto Aeronáutico Madrid Sur</t>
  </si>
  <si>
    <t>8.727,86 $</t>
  </si>
  <si>
    <t>Air City Madrid Sur S.L.</t>
  </si>
  <si>
    <t>Javier Ruedas, Air City Madrid Sur S.L., Mail: jruedas@aircitymadridsur.com</t>
  </si>
  <si>
    <t>AIRIA revisó la viabilidad económica del Proyecto del Aeropuerto Madrid Sur.</t>
  </si>
  <si>
    <t>Las tareas realizadas fueron las siguientes:
• Ingresos: revisión del modelo de ingresos, tanto aeronáuticos como no aeronáuticos, y las consideraciones e hipótesis realizadas. Revisión de prognosis de tráfico, hipótesis e impulsores de tráfico
• Costes: revisión de costes
• Inversiones: actualización de las inversiones proporcionadas por el cliente, tanto en importe como en año considerado para realizar la inversión y puesta en servicio de cada una de las instalaciones</t>
  </si>
  <si>
    <t>Se han realizado trabajos posteriores, referentes a la realización de presentaciones ante distintas autoridades, en octubre de 2023 y septiembre de 2024.</t>
  </si>
  <si>
    <t>Hidropuertos</t>
  </si>
  <si>
    <t>Servicio de Consultoría para la certificación de los hidroaeródromos de Tenerife y Gran Canaria</t>
  </si>
  <si>
    <t>Septiembre 2024</t>
  </si>
  <si>
    <t>67.137,36 $</t>
  </si>
  <si>
    <t>Light Bridges, S.L.</t>
  </si>
  <si>
    <t>Gerardo Morales-Hierro, SURCAR Airlines, Mail: gerardo.cvp@gmail.com</t>
  </si>
  <si>
    <t>El objeto del contrato fue la prestación del servicio de consultoría para la preparación de la documentación requerida para certificar o verificar los hidropuertos de Santa Cruz de Tenerife y de Las Palmas de Gran Canaria.</t>
  </si>
  <si>
    <t>El alcance del servicio de consultoría incluía los hitos de presentación ante AESA de las Normas Técnicas (según las especificaciones contenidas en el borrador Normas Técnicas para hidroaeródromos de uso público), el Manual de Hidroaeródromo y el Sistema de Gestión de la Seguridad Operacional (SMS).</t>
  </si>
  <si>
    <t>ATCV Obras Privativas</t>
  </si>
  <si>
    <t>ATCV de las Obras Privativas en el Aeropuerto Adolfo Suárez Madrid-Barajas</t>
  </si>
  <si>
    <t>Abril 2023</t>
  </si>
  <si>
    <t>669.135,69 $</t>
  </si>
  <si>
    <t>334.567,84 $</t>
  </si>
  <si>
    <t>Santiago Jose Prada Barrio, Director del Expediente, Jefe Departamento de Ingeniería y Oficina Técnica, División de Ingeniería y Mantenimiento, Mail: sjprada@aena.es, Tlf. +34.600.550.752</t>
  </si>
  <si>
    <t>El objeto del contrato fue la prestación de servicios de coordinación, ingeniería de asesoramiento, gestión y control técnico necesarios en el proceso de puesta en explotación de los espacios dedicados a actividades comerciales, ya fueran tiendas, locales de restauración, salas VIP, espacios relacionados con aparcamientos y rent a car o con activos inmobiliarios situados fuera de las terminales.</t>
  </si>
  <si>
    <t>El servicio se concretó con el siguiente alcance:
• Revisión y aprobación del proyecto ejecutivo privativo en fase de redacción incluyendo visita previa para detectar afectación de servicios
• Seguimiento y control de la ejecución de obra
• Control de la documentación final de obra, haciendo especial hincapié en el seguimiento de las entregas de la misma
• Asesoramiento en aquellos temas técnicos que aparecieran en el transcurso de la ejecución de obras
• Generación y actualización de las fichas de los locales con las características principales del volumen y servidumbres, según especificaciones</t>
  </si>
  <si>
    <t>No, pero hay un Acta de Recepción y Liquidación Única.</t>
  </si>
  <si>
    <t>PMs T123 MAD</t>
  </si>
  <si>
    <t>Asistencia Técnica de PM (Project Management) para fase de diseño del nuevo procesador y remodelación del T123. Aeropuerto Adolfo Suárez Madrid-Barajas</t>
  </si>
  <si>
    <t>Junio 2027</t>
  </si>
  <si>
    <t>1.636.273,10 $</t>
  </si>
  <si>
    <t>405.972,33 $</t>
  </si>
  <si>
    <t>Joaquín Fernández Casado, Director del Expediente</t>
  </si>
  <si>
    <t>El objeto del contrato es la prestación de los servicios de Project Management para la gestión integral y control del Proyecto de los servicios de Dirección Técnica de los Proyectos de Construcción, de los servicios de Soporte Técnico al aeropuerto en relación con su ámbito de aplicación, y de los servicios de Soporte Técnico a la Dirección de Obra.</t>
  </si>
  <si>
    <t>En el ámbito general del proyecto el servicio consiste en:
• Definición de una estructura organizativa de la Oficina de Project Management (PM) propia para la gestión y control del Proyecto
• Proposición de una estructura funcional y jerarquizada en la que se definan y describan las funciones y responsabilidades de todas las empresas, unidades y personal que interviene desde la fase inicial de la redacción de los proyectos constructivos hasta la licitación de las actuaciones de las nuevas infraestructuras, y la etapa de transición coincidente con la ejecución de las obras
• Definición de una Matriz de Responsabilidades que involucre a todos los actores principales
• Proposición de una metodología de trabajo definiendo los procesos, proceidmientos operativos, estructura de toma de decisiones, criterios de aceptación, metodología de comunicación, emisión y archivo de documentos, control de cambios y todos los mecanismos de gestión y control de la PMO
• Elaboración de un Plan Ejecutivo que contenga todas las líneas de gestión
• Desarrollo de un Programa General que incluya la secuencia de actividades interconectadas que refleje la duración e identifique las precedencias, limitaciones, hitos intermedios y camino crítico
• Elaboración de un Plan de Gestión de Riesgos que permita identificarlos y mediante un análisis cualitativo y cuantitativo, planificar la respuesta y hacer un seguimiento pormenorizado
• Coordinación técnica de los distintos proyectos constructivos
• Elaboración de informes parciales de revisión e Informes Finales de Aprobación
• Supervisión, revisión e incluso redacción de la documentación requerida para la aprobación del Compliance de las distintas fases del proyecto y los procesos necesarios de aprobación de la Gestión del Cambio
• Coordinación de todas las empresas involucradas
• Asesoramiento a Aena y proponer una estrategia de contratación de la obras correspondientes
• Prestación del soporte técnico para la evaluación técnica de las ofertas de licitación
• Control del desarrollo del Programa
• Integración en el Programa General de las nuevas actividades identificadas como consecuencia de los desarrollos adicionales a surgir
• Coordinación y soporte técnico para las coordinaciones y preparar las sesiones de prueba de explotación básicas y globales planificadas
• Organización y levantamiento de actas de las reuniones generales de coordinación, reuniones técnicas para la definición de soluciones y las reuniones de seguimiento y toma de decisiones
• Información a Aena mediante la elaboración de informes periódicos de seguimiento e informes específicos
• Definición de una estrategia de mantenimiento de las nuevas infraestructuras</t>
  </si>
  <si>
    <t>La UTE está formado por VIARIUM INGENIERÍA, GESNAER CONSULTING y AIRIA INGENIERÍA Y SERVICIOS, S.A..</t>
  </si>
  <si>
    <t>PMs Iluminación Eficiente</t>
  </si>
  <si>
    <t>A.T. de Project Management de Iluminación Eficiente. Fase II</t>
  </si>
  <si>
    <t>Junio 2028</t>
  </si>
  <si>
    <t>1.961.753,66 $</t>
  </si>
  <si>
    <t>Daniel Rodriguez del Rio, Director del Expediente</t>
  </si>
  <si>
    <t>El objeto del contrato es la prestación de los servicios de Asistencia Técnica de Project Management necesarios para llevar a cabo todas las actividades asociadas a las inversiones en iluminación eficiente de los acuerdos marcos de iluminación y expedientes de iluminación de Aena.</t>
  </si>
  <si>
    <t>El servicio consiste en:
• Coordinación de expedientes y alcance de cada LDA de iluminación de los Acuerdos Marcos de iluminación y todos los expedientes de iluminación eficiente
• Servicio de PM: óptima ejecución del proyecto, revisión del proyecto, cumplimiento de la planificación, cumplimiento del presupuesto
• Participar en la definición y asunción de la metodología de trabajo definida por Aena a través de la PMO
• Definir la estructura organizativa del Project Management (PM) propia para la gestión y el control
• Proponer una estructura funcional y jerarquizada en la que se definan y describan claramente las actividades y responsabilidades de todas las empresas, unidades y personal
• Definir una Matriz de Responsabilidades
• Elaborar y actualizar periódicamente un Plan de Actuaciones del Aeropuerto con las líneas de actuación
• Elaboración de fichas por aeropuerto con la actualización mensual del PGA
• Elaboración del Plan de Gestión de Riesgos para identificar y dar respuesta a los riesgos, haciendo un seguimiento pormenorizado
• Realizar un entregable denominado Resumen Actuación para cada LDA del aeropuerto
• Coordinar a todas las empresas involucradas
• Asesorar a Aena y proponer una Estrategia de Contratación de las obras correspondientes
• Coordinar la totalidad de las obras, entre las distintas unidades intervinientes
• Coordinar los modelos BIM en fase de PIM
• Colaborar en la elección y toma de decisión de la herramienta de gestión de proyectos definida en la descripción de las actividades de la PMO
• Gestionar el seguimiento en las aplicaciones corporativas BPM
• Organizar y levantar actas de las reuniones generales de coordinación, reuniones específicas para el cumplimiento de hitos, reuniones técnicas para la definición de soluciones y reuniones de seguimiento y toma de decisiones
• Informar a Aena mediante la elaboración de informes periódicos de seguimiento y de informes específicos
• Realizar informes del avance de los proyectos y obras vigentes en el momento de la solicitud
• Definir una estrategia de mantenimiento de las nuevas infraestructuras
• Desarrollar y Controlar un Plan General de Actuación (PGA) para las LDA de cada aeropuerto
• Detectar y definir dentro del Plan de Actuaciones del Aeropuerto los diferentes hitos que marcarán una entrega parcial entre modelos PM de obra de distintos PGA llevados a cabo de forma simultánea
• Elaborar un informe de pre necesidades de cada LDA para la correcta definición económica de una actuación
• Actualizar la documentación depositada en Sharepoint
• Gestión en el proceso de Gestión del Cambio</t>
  </si>
  <si>
    <t>ATRP GMZ: 329.775,03 €
ATRP VDE: 52.174,14 €
ATRP JCU: 81.754,33 €
ATRP MAD (WOKS): 2.903.765,64 €
ATRP XRY: 844.132,57 €
ATRP SVQ: 1.387.511,55 €
ATRP MAD II: 4.099.798,56 €
ATDOCV SBO: 553.943,71 €
ATDOCV BIO: 799.991,83 €</t>
  </si>
  <si>
    <t>La UTE está formada por CONURMA INGENIEROS CONSULTORES, S.A. y AIRIA INGENIERIA Y SERVICIOS, S.A.</t>
  </si>
  <si>
    <t>La UTE estuvo formada por AIRIA INGENIERIA Y SERVICIO, S.A. y GOC.</t>
  </si>
  <si>
    <t>RSO Publicidad Prepasarelas T4</t>
  </si>
  <si>
    <t>Seguimiento obra por RSO: Instalación de publicidad en las prepasarelas en el Aeropuerto Adolfo Suárez Madrid-Barajas</t>
  </si>
  <si>
    <t>1.107,77 $</t>
  </si>
  <si>
    <t>El alcance del contrato fue la instalación de publicidad en las prepasarelas en el Aeropuerto Adolfo Suárez Madrid-Barajas.</t>
  </si>
  <si>
    <t>La principal tarea fue el seguimiento de obra por un Responsable de Seguridad Operacional (RSO). Asimismo, se incluyeron tres visitas a obra (inicio de instalación, ejecución y finalización de instalación).</t>
  </si>
  <si>
    <t>Mtto Benina Libia</t>
  </si>
  <si>
    <t>Nuevo Aeropuerto Internacional de Benina</t>
  </si>
  <si>
    <t>Benghazi</t>
  </si>
  <si>
    <t>Leptis Global</t>
  </si>
  <si>
    <t>Enero 2024</t>
  </si>
  <si>
    <t>427.543,02 $</t>
  </si>
  <si>
    <t>Sami Ajhawi, General Director, Tripoli Tower - First Floor/Tripoli, Libya, Mail: sami.ajhawi@leptisglobal.com, Tlf. +218923231111</t>
  </si>
  <si>
    <t>El objeto del contrato fue la realización de estudios geotécnicos llevados a cabo en el aeropuerto de Benina-Benghazi, consistentes en el análisis de la capacidad portante de los edificios de apoyo y demás infraestructura civil, con el objetivo de proyectar nuevos trabajos en diferentes zonas y elementos del aeropuerto.</t>
  </si>
  <si>
    <t xml:space="preserve">Los trabajos geotécnicos fueron realizados en distintas zonas:
• Zona 1: Pista de vuelo 15L-33R
• Zona 2: Pista de vuelo 15R-33L y calles de rodaje
• Zona 3: área requerida para el futuro edificio terminal de pasajeros
• Zona 4: área requerida para la futura torre de control
Se realizaron exploraciones en tres capas, a través de tests destructivos: perforaciones, fosos de ensayo, SPT, perforación de núcleos y diamantinas. A su vez, se sacaron muestras del suelo y se realizaron núcleos de extracción. </t>
  </si>
  <si>
    <t>271.827,98 $</t>
  </si>
  <si>
    <t>El objeto del contrato fue la realización de servicios de caracterización estructural para verificar su estado de conservación y estimar la capacidad portante y/o posibles modificaciones o refuerzos a realizar en el futuro proyecto de adaptación de la estructura metálica existente para el desarrollo del nuevo edificio terminal de pasajeros en el Aeropuerto Benina-Benghazi.</t>
  </si>
  <si>
    <t xml:space="preserve">Los trabajos llevados a cabo fueron:
• Determinación de las dimensiones y tipología de la cimentación
• Verificación de las dimensiones obtenidas en la nube de puntos
• Determinación de la geometría de los perfiles que forman la estructura metálica. Estudio de todos los perfiles metálicos
• Determinación y clasificación de la tipología de juntas: conexiones pilar/cimentación, columna/viga, viga/viga
• Ensayos destructivos y no destructivos </t>
  </si>
  <si>
    <t>Terminal Benina</t>
  </si>
  <si>
    <t>Consultoría para torre de control, edificio administrativo y SEI del Aeropuerto de Benina</t>
  </si>
  <si>
    <t>109.657,69 $</t>
  </si>
  <si>
    <t>LEPTIS GLOBAL for Airport Services</t>
  </si>
  <si>
    <t xml:space="preserve">El objeto del contrato fue el pre-diseño de:
- Edificio terminal de pasajeros del Aeropuerto de Benina (20.000 metros cuadrados de superficie)
- Torre de control y edificio de oficinas asociado
- Edificio administrativo asociado a la actividad de la torre de control
- Un edificio SEI en el Aeropuerto de Benina </t>
  </si>
  <si>
    <t>Los trabajos realizados por AIRIA incluyeron:
• Diseño funcional, representación visual y 3D del edificio terminal
• Diseño funcional, representación visual y 3D de la torre de control y sus correspondientes oficinas
• Diseño funcional, representación visual y 3D del edificio SEI</t>
  </si>
  <si>
    <t>Tasación Aeronave MAD</t>
  </si>
  <si>
    <t>Tasación Aeronave en el Aeropuerto Adolfo Suárez Madrid-Barajas</t>
  </si>
  <si>
    <t>559,48 $</t>
  </si>
  <si>
    <t>María Teresa Arévalo, Responsable del Contrato, Jefe Departamento Contratación y Asuntos Generales</t>
  </si>
  <si>
    <t>El objeto del contrato fue el desarrollo de la tasación de una aeronave en situación de abandono en el Aeropuerto Adolfo Suárez Madrid-Barajas.</t>
  </si>
  <si>
    <t>La principal tarea realizada fue:
• Realización de Informe de tasación de aeronave con matrícula EC-KRV
   - Identificación de aeronave
   - Inspección visual
   - Tasación</t>
  </si>
  <si>
    <t>PPP BIA Iraq</t>
  </si>
  <si>
    <t>Colaboración público-privada (PPP) para la rehabilitación, expansión, financiación, operación y mantenimiento del Aeropuerto Internacional de Baghdad (BIA)</t>
  </si>
  <si>
    <t>PPP</t>
  </si>
  <si>
    <t>Irak</t>
  </si>
  <si>
    <t>Baghdad</t>
  </si>
  <si>
    <t>142.000,00 $</t>
  </si>
  <si>
    <t>International Finance Corporation (IFC)</t>
  </si>
  <si>
    <t>Aurélie Arnaud, Investment Officer, Transaction Advisory Services Department, Public-Private Partnerships, The Atrium Building, 1 Rafiq Al-Hariri Avenue, 5th Floor - Abdali, Amman, Mail: aarnaud@ifc.org, Tlf. +1.202.876.5713</t>
  </si>
  <si>
    <t>El objeto del contrato fue la realización de un asesoramiento de transacción en la estructuración e implementación de una colaboración público-privada (PPP) para la rehabilitación, expansión, financiación, operación y mantenimiento del Aeropuerto Internacional de Baghdad.</t>
  </si>
  <si>
    <t xml:space="preserve">Las tareas realizadas por AIRIA fueron:
a) Reunión de inicio
• Realizar la Due Diligence y revisión de estudios relevantes y existentes, reports e información, leyes, políticas, maps y demás documentos para entender los puntos principales con respecto a la aviación en Irak
• Preparar antes de la reunión un cuestionario preliminar (lista de documentos necesarios)
• Participar en la reunión y en las visitas con el cliente, demás consultores y partes interesadas para discutir el cuestionario
b) Revisión de estudios existentes e información
• Revisión de estudios de pre-factibilidad, informes del sector de la aviación y otra información relevante
c) Informe de cuestiones críticas
• Identificación de elementos clave y críticos de carácter técnico
• Consideración de parámetros y requisitos técnicos necesarios para el desarrollo del proyecto, con particular atención a los requisitos de infraestructura, seguridad, y a la realización de una revisión de seguridad en la aviación, con el fin de asegurar el cumplimiento de los estándares de ICAO e identificar riesgos para las aeronaves y comunidades
• Preparación de un informe de cuestiones críticas que expusiera cualquier elemento técnico fundamental y riesgo asociado al proyecto
d) Infraestructura y Costes de Capital 
</t>
  </si>
  <si>
    <t>Patrimonio</t>
  </si>
  <si>
    <t>Servicio de Actualización Patrimonial Continua en el Aeropuerto de Madrid/Barajas</t>
  </si>
  <si>
    <t>Junio 2007</t>
  </si>
  <si>
    <t>370.252,68 $</t>
  </si>
  <si>
    <t>Rafael Rey Lara, Director del Expediente, Mail: rrey@aena.es</t>
  </si>
  <si>
    <t>El alcance del expediente comprendió las tareas de revisión, actualización continua de los activos fijos del Aeropuerto de Madrid/Barajas, de acuerdo con la definición de los trabajos expuestos en el pliego.</t>
  </si>
  <si>
    <t xml:space="preserve">El desarrollo de los trabajos realizados incluyó las siguientes fases:
• Fase 1. Planificación
   - Planificación de la revisión de inventario
   del aeropuerto
   - Constitución de un Comité de Seguimiento
   que garantizara el alcance del proyecto de
   acuerdo a lo planificado
   - Definición conjunta de la metodología para
   los trabajos de campo, en especial las
   clases y tipos de inmovilizados, normas
   fiscales de deducción de bajas
   - Definición conjunta de los procedimientos
   de gestión de inmovilizado de Aena de
   acuerdo a lo establecido en las Normas de
   Gestión del Inmovilizado, en especial las
   clases y tipos de inmovilizados
   - Definición de los resultados del proyecto
   - Preparación de la información necesaria
   para poder llevar a cabo los trabajos de
   campo
• Fase 2. Trabajo de localizaciones físicas
   - Trabajos de campo en localizaciones
   físicas. Se realizó una inspección física del
   aeropuerto con el finde actualizar las
   ubicaciones y áreas existentes, de acuerdo
   a los criterios establecidos en los
   procedimientos de gestión de activos o bien
   en el documento de metodología para los
   trabajos de campo
   - Los datos obtenidos fueron cargados en
   SAP
   - Esta información se reflejó sobre los
   planos preparados
• Fase 3. Trabajos de campo para la revisión de inventario
   - Trabajo de campo para la toma de datos,
   necesaria para la actualización del
   inventario de bienes de todo el inmovilizado
   - El resultado de la revisión fue entregado
   en formato Excel para su posterior
   validación en SAP
   - Suministro de una fotografía digital del
   elemento
   - Evaluación y entrega de los soportes
   documentales necesarios para poder
   considerar las bajas de inmovilizado
   deducibles a efectos fiscales en el
   Impuesto sobre Sociedades
• Fase 4. Conciliación Contable
   - Todas las modificaciones realizadas en
   los campos de un bien físico en SAP
   fueron realizados por Aena </t>
  </si>
  <si>
    <t>Ota</t>
  </si>
  <si>
    <t>Análisis de Demanda de Tráfico del Nuevo Aeropuerto de Lisboa</t>
  </si>
  <si>
    <t>Lisboa</t>
  </si>
  <si>
    <t>Abril 2007</t>
  </si>
  <si>
    <t>19.622,79 $</t>
  </si>
  <si>
    <t>José Manuel García Fernández, Director de Aeropuertos, PROINTEC, S.A.</t>
  </si>
  <si>
    <t>El objetivo del expediente fue el desarrollo de un análisis de demanda de tráfico para el nuevo aeropuerto de Lisboa.</t>
  </si>
  <si>
    <t>Las tareas realizadas por AIRIA fueron:
• Análisis de demanda de tráfico
• Formulario de compañías aéreas</t>
  </si>
  <si>
    <t>No aparece el análisis de demanda de tráfico.</t>
  </si>
  <si>
    <t>El Salvador</t>
  </si>
  <si>
    <t>Curso para inspectores de aeródromos - Avanzado</t>
  </si>
  <si>
    <t>Mayo 2007</t>
  </si>
  <si>
    <t>6.431,13 $</t>
  </si>
  <si>
    <t>SERVICIOS Y ESTUDIOS PARA LA NAVEGACIÓN AÉREA Y LA SEGURIDAD AERONÁUTICA, S.A.</t>
  </si>
  <si>
    <t>José Manuel Herrero Borrell, Gerente Aeropuertos y Medio Ambiente</t>
  </si>
  <si>
    <t>El objeto del acuerdo fue la contratación por parte de SENASA de los servicios profesionales de AIRIA para la realización de un curso de formación.</t>
  </si>
  <si>
    <t>Los servicios y actividades desarrollados por AIRIA consisitieron en:
•Elaboración de 30 horeas lectivas del curso denominado "Curso para inspectores de aeródromos - Avanzado"
• Impartición de esas 30 horas lectivas durante 5 días, desde el 28 de mayo al 1 de junio de 2007, en las instalaciones del COCESNA-ICCAE en El Salvador.</t>
  </si>
  <si>
    <t>Ilopango</t>
  </si>
  <si>
    <t>Murcia Corvera</t>
  </si>
  <si>
    <t>Dirección del Programa "Nuevo Aeropuerto de la Región de Murcia"</t>
  </si>
  <si>
    <t>274.719,06 $</t>
  </si>
  <si>
    <t>Jorge Alabart Ferrrer, Director General, Calle Quintana, 2, 28008 Madrid</t>
  </si>
  <si>
    <t>El objeto de la colaboración fue realizar los trabajos incluidos en el Proyecto Constructivo del Aeropuerto de la Región de Murcia, realizado por el adjudicatario del proceso de licitación de la construcción y concesión del aeropuerto.</t>
  </si>
  <si>
    <t>Las tareas desarrolladas estuvieron enmarcadas en dos ámbitos de actuación:
• Dirección del Programa del Aeropuerto de la Región de Murcia
   - Velar por el óptimo desarrollo de los
   trabajos
   - Coordinar las distintas partes implicadas
   en el Programa
   - Entrevistarse con organismos cuya
   colaboración era de interés para la buena
   marcha del proyecto y liderar las
   relaciones con el concesionario
   - Ejercer las tareas del comité de
   seguimiento del Proyecto
   - Actuar para conseguir minimizar los
   tiempos del proyecto, solventando
   situaciones indeseadas y adelantando
   soluciones
   - Proveer los servicios necesarios
   requeridos al margen de los trabajos
   convencionales del proyecto (estudios de
   espacio aéreo, ubicación de radioayudas, 
   revisiones críticas de diseño,
   optimización de procesos que afectaran a
   la definición del proyecto, estudios de
   servidumbres y ruido, requisitos funcionales
   de elementos aeroportuarios, etc.)
• Facilitación de relaciones</t>
  </si>
  <si>
    <t>A.T. Serv. Limp. Madrid-Barajas</t>
  </si>
  <si>
    <t>Estudio de Mediciones para Pliegos de Limpieza en el Aeropuerto de Madrid-Barajas</t>
  </si>
  <si>
    <t>4 semanas</t>
  </si>
  <si>
    <t>Enero 2008</t>
  </si>
  <si>
    <t>23.427,43 $</t>
  </si>
  <si>
    <t>María Teresa Hernandez Gamazo, Directora de Exp. Limpieza y Servicios Básicos MAD-BAR, Mail: mthernandez@aena.es</t>
  </si>
  <si>
    <t>El objeto del contrato fue la necesidad de cuantificar diversos parámetros definitorios encaminados a alimentar el nuevo modelo de provisión del servicio de limpieza y recogida y mantenimiento de carrillos portaequipajes.</t>
  </si>
  <si>
    <t>Las tareas desarrolladas fueron:
• Recopilación de información y determinación de ámbito de estudio
   - Planos de las superficies objeto de los
   expedientes de limpieza del Aeropuerto de
   Madrid-Barajas e información de la
   organización y articulación de las contratas
   de limpieza
   - Entrevistas con las contratas o recopilación
   de información acerca de la estructura de
   los equipos de trabajo
   - Determinación de ubicación de
   contenedores
   - Recopilación de información acerca de las
   situaciones excepcionales de limpieza en
   los últimos años
   - Recopilación de datos de mantenimiento
   de los carrillos portaequipajes
   - Recopilación de información de los
   expedientes vivos
   - Búsqueda de desglose de tráfico del
   aeropuerto o elaboración de hipótesis
   para su realización
   - Gestiones necesarias para conseguir la
   información para abordar las tareas
• Mediciones de información presente en planos
• Visitas "in situ" a instalaciones para la determinación de calidades y cuantificación de parámetros
• Incorporación de información al modelo</t>
  </si>
  <si>
    <t>GOC Aeropuertos y NTAC</t>
  </si>
  <si>
    <t>Apoyo Técnico para la Adecuación de Diversos Aeropuertos a las NTAC</t>
  </si>
  <si>
    <t>Diciembre 2008</t>
  </si>
  <si>
    <t>G.O.C, S.A.</t>
  </si>
  <si>
    <t>51.455,32 $</t>
  </si>
  <si>
    <t>Alejandro Durrels, Director División Aeropuertos, Mail: alejandrodurrels@gocsa.es, Tlf. 91.747.40.22</t>
  </si>
  <si>
    <t>Las tareas realizadas por AIRIA fueron la redacción de los siguientes entregables:
• Proyecto Básico
• Proyecto Constructivo Provisional
• Proyecto Constructivo Definitivo</t>
  </si>
  <si>
    <t>El objeto de la colaboración fue la identificación de carencias y necesidades de diversos aeropuertos de la red de Aena (Almería, Tenerife Norte, Palma de Mallorca, Zaragoza), que precisaban inversiones en infraestructuras para su adecuación al cumplimiento de las normas NTAC.</t>
  </si>
  <si>
    <t>Satélite Aeropuerto Barcelona</t>
  </si>
  <si>
    <t>Apoyo técnico en el Proyecto Básico del Satélite del Aeropuerto de Barcelona</t>
  </si>
  <si>
    <t>45.500,62 $</t>
  </si>
  <si>
    <t>IBERICA DE ESTUDIOS E INGENIERIA, S.A.</t>
  </si>
  <si>
    <t>Ricardo Álvarez García-Luben, División de Instalaciones, Obras Industriales e I+D+I, Calle Anabel Segura 11, Edificio D, Centro de Negocios ALBATROS, 28108 Alcobendas (Madrid), Mail: ralvarez@acciona.es, Tlf. 91.142.03.00</t>
  </si>
  <si>
    <t>Septiembre 2008</t>
  </si>
  <si>
    <t>El objeto de la colaboración fue la realización de los trabajos incluidos en el Proyecto Básico del Edificio Satélite del Nuevo Área Terminal del Aeropuerto de Barcelona.</t>
  </si>
  <si>
    <t>AIRIA realizó las siguientes funciones en el ámbito del proyecto básico:
• Velar por el óptimo desarrollo de los trabajos bajo el punto de vista aeronáutico
• Interceder entre las distintas partes implicadas en el proyecto
• Entrevistarse con el equipo de arquitectura, realizar revisiones constructivas, proponer alternativas y ofrecer opinión experta acerca de las soluciones en desarrollo
• Ejercer las tareas dentro del comité de seguimiento del Proyecto
• Actuar para conseguir minimizar los tiempos del proyecto
• Proveer los servicios necesarios requeridos al margen de los trabajos convencionales del proyecto (estudios de dimensionamiento, de operatividad, de requisitos funcionales, de seguridad, de optimización de plataforma, de diseño, de servidumbres, etc.)</t>
  </si>
  <si>
    <t>Fondos Documentales</t>
  </si>
  <si>
    <t>Servicio de Tratamiento y Actualización de Fondos Documentales y Traslado a su Ubicación Definitiva en el Aeropuerto de Madrid-Barajas</t>
  </si>
  <si>
    <t>Junio 2008</t>
  </si>
  <si>
    <t>9.027,50 $</t>
  </si>
  <si>
    <t>María Teresa Arévalo Alonso, Jefa Departamento Contratación, Aeropuerto de Madrid/Barajas, T2 - 4ª Planta, 28042 Madrid, Mail: mtarevalo@aena.es, Tlf. 91.393.65.44</t>
  </si>
  <si>
    <t>El objeto del contrato fue la realización del Servicio Técnico de Tratamiento y Actualización de Fondos Documentales y su posterior traslado a su ubicación definitiva en el Aeropuerto de Madrid-Barajas.</t>
  </si>
  <si>
    <t>Debido al ingente volumen de fondos documentales de la División Económico-Administrativa y una transcurrido el plazo preceptivo para su conservación, se hizo imprescindible la revisión de la documentación para verificación de la documentación susceptible de ser destruida, y detección de las actuaciones administrativas tendentes al cierre final de los expedientes.</t>
  </si>
  <si>
    <t>Operaciones ACE 07508</t>
  </si>
  <si>
    <t>Asistencia Técnica para la redacción y mantenimiento de planes y procedimientos de operaciones en el aeropuerto de Lanzarote</t>
  </si>
  <si>
    <t>Agosto 2008</t>
  </si>
  <si>
    <t>54.295,49 $</t>
  </si>
  <si>
    <t>117.640,22 $</t>
  </si>
  <si>
    <t>Elena Hernando Rubio, Directora del Expediente, Jefa de Operaciones y Servicios, Mail: mehernando@aena.es, Tlf. 928.846.048</t>
  </si>
  <si>
    <t>El objeto de la prestación efectuada por la Asistencia Técnica fue proporcionar un servicio de asistencia técnica para:
• Actualización y mantenimiento del Plan de Emergencia
• Redacción y actualización de procedimientos operativos
• Redacción y supervisión de informes técnicos
• Elaboración y actualización de planos</t>
  </si>
  <si>
    <t>AIRIA se encargó de la realización de los siguientes servicios:
• Plan de emergencia
   - Lectura y aprendizaje del Plan de
   Emergencia del Aeropuerto
   - Recopilación y estudio de toda la
   normativa vigente
   - Estudio de debilidades, puntos fuertes,
   fortalezas y oportunidades del Plan
   - Propuesta y desarrollo de mejoras, 
   coordinando las labores necesarias llevadas
   a cabo
   - Redacción y adaptación de los cambios
   a la aplicación TITAN u otra definida
   - Elaboración de un calendario de
   simulacros y prácticas de acuerdo a la
   normativa vigente
   - Realización de tutorías, charlas y otras
   funciones de difusión y coordinación de los
   implicados en el funcionamiento del Plan de
   Emergencia
   - Preparación y ejecución de los simulacros
   y prácticas
   - Evaluación económica de las tareas
   realizadas
   - Cumplimentación de la documentación de
   tipo medioambiental (identificación de
   impactos y consideraciones
   medioambientales) relacionada con la
   ejecución del proyecto en una obra
   - Edición, con medios propios, del conjunto
   de documentos y copias necesarias para
   realización de los servicios
   - Asesoramientos necesarios en temas
   especializados, instalaciones, normativas
   - Servicios de mecanografía, delineación,
   reprografía y encuadernación
• Informes técnicos
   - Lectura y aprendizaje del Manuel de
   Aeródromo del Aeropuerto
   - Recopilación y estudio de toda la
   normativa vigente relativa al mismo
   - Estudio de debilidades, puntos fuertes,
   fortalezas y oportunidades del Manual
   - Propuesta y desarrollo de mejoras, 
   coordinando las labores necesarias para
   su consecución
   - Prestación del servicio de coordinación
   del Aeropuerto con los Servicios Centrales
   de Aena en lo relativo al Manual de
   Aeródromo y su certificación
   - Redacción de informes técnicos relativos
   a la certificación de aeródromo
   - Servicios de mecanografía, delineación,
   reprografía y encuadernación
• Procedimientos operativos
   - Lectura y aprendizaje de los
   procedimientos e instrucciones operativas
   del Aeropuerto
   - Recopilación y estudio de toda la
   normativa vigente
   - Estudio de las debilidades y puntos
   fuertes de cada uno
   - Propuesta y desarrollo de mejoras,
   coordinando las labores necesarias para
   su consecución
   - Prestación del servicio de coordinación del
   Aeropuerto con los Servicios Centrales de
   Aena en lo relativo a procedimientos de
   operaciones y cualquier otro relacionado
   con las operaciones aeroportuarias
   - Redacción de procedimientos operativos
   - Adaptación de procedimientos a los
   procesos y Sistema de Calidad del
   Aeropuerto
   - Servicios de mecanografía, delineación,
   reprografía y encuadernación
• Actualización de planos</t>
  </si>
  <si>
    <t>No, pero hay un Acta de Recepción y Liquidación Única y un certificado provisional.</t>
  </si>
  <si>
    <t>Hubo una prórroga de 2 meses, que entró en vigor en agosto de 2010.</t>
  </si>
  <si>
    <t>León</t>
  </si>
  <si>
    <t>Estudio aeronáutico León</t>
  </si>
  <si>
    <t>Grupo Teras</t>
  </si>
  <si>
    <t>Pablo Villalba, Mail: pablovillalba@grupoteras.com</t>
  </si>
  <si>
    <t>El objeto de la oferta recibida consistió en el proceso de legalización de un helipuerto en León.</t>
  </si>
  <si>
    <t>Simulación México</t>
  </si>
  <si>
    <t>Realización de simulaciones SIMMOD de los aeropuertos de Tijuana, Puerto Vallarta y Hermosillo</t>
  </si>
  <si>
    <t>México</t>
  </si>
  <si>
    <t>18.925,11 $</t>
  </si>
  <si>
    <t>Ingeniería y Economía del Transporte, S.A. (INECO)</t>
  </si>
  <si>
    <t>Carlos González Gómez, Jefe de Departamento, Dirección General de Consultoría, Aeropuertos y Transporte Aéreo, Paseo de la Habana, 138, 28036 Madrid, Mail: cgonzalez@ineco.es, Tlf. 91.452.12.00 Ext. 1675</t>
  </si>
  <si>
    <t>La prestación del servicio comprendió la realización de simulaciones de campo de vuelo-espacio aéreo con la herramienta SIMMOD PLUS 7.3 para el aeropuerto de Hermosillo y las actualizaciones de las simulaciones de los aeropuertos de Tijuana y Puerto Vallarta.</t>
  </si>
  <si>
    <t>Una vez se elaboraron/actualizaron los modelos, se realizaron las simulaciones necesarias para determinar la capacidad teórica y práctica del aeropuerto. Se simuló la situación vigente a partir de un plan de vuelos, encontrando posteriormente los límites a la capacidad.
Por último, se redactó un informe explicando las conclusiones obtenidas, de acuerdo con la metodología de Planes Directores.</t>
  </si>
  <si>
    <t>Además de los aeropuertos descritos, también se realizaron simulaciones y un informe relativos al aeropuerto de Bajío (Guanajuato).</t>
  </si>
  <si>
    <t>Relojes 2008</t>
  </si>
  <si>
    <t>Adquisición de Relojes de Pulsera para Acto Homenaje a Jubilados 2008</t>
  </si>
  <si>
    <t>73.408,76 $</t>
  </si>
  <si>
    <t>Francisco Moreno Adán, Jefe Área Beneficios Corporativos y Proyectos Sociales, Dirección Organización y Gestión de Recursos Humanos, Edificio Piovera Azul, Mail: fmadan@aena.es, Tlf. 91.321.17.91</t>
  </si>
  <si>
    <t>El objeto del contrato fue el suministro de 300 relojes de pulsera de acero 316 L, antialérgico, señora o caballero, cristal de zafiro irrayable, chapado PVC, maquinaria de cuarzo ETA de fabricación suiza, con esfera con números romanos en relieve, correa de piel legítima, acuático a 30/50 metros, grabados con los criterios que el Director del Contrato especificó, para un acto homenaje a los jubilados de Aena de 2008.</t>
  </si>
  <si>
    <t xml:space="preserve">Las tareas realizadas por AIRIA fueron:
• Obtención de los relojes demandados por AENA
• Creación de lista con nombres de los trabajadores jubilados
• Redacción de carta con el envío del reloj
• Creación de presentación de Powerpoint con las instrucciones del cierre de los relojes
• Creación de etiquetas
</t>
  </si>
  <si>
    <t>Gasolinera Bilbao</t>
  </si>
  <si>
    <t>Asistencia Técnica para la Construcción de una Estación de Servicio en el Aeropuerto de Bilbao</t>
  </si>
  <si>
    <t>187.038,18 $</t>
  </si>
  <si>
    <t>Amunaga, S.L.</t>
  </si>
  <si>
    <t>Aitor Allika, Departamento Financiero, Mail: aitor@marinoil.com, Tlf. 946.745.012</t>
  </si>
  <si>
    <t>El objeto del contrato fue la colaboración en la construcción de una estación de servicio en el Aeropuerto de Bilbao.</t>
  </si>
  <si>
    <t>Los ámbitos de colaboración en los que participó AIRIA fueron:
• Redacción del Proyecto Constructivo de la Estación de Servicio referida
   - Definición, configuración, diseño,
   redacción de proyecto en la preparación de
   la documentación necesaria para la
   definición constructiva
• Apoyo en la tramitación y dirección facultativa
   - Preparación de la documentación
   preceptiva para abordar las tramitaciones
   del proyecto, tanto en su aspecto de
   obtención de licencias como en la relación
   con Aena, defendiendo los intereses de la
   concesión en cuanto a los umbrales de
   rentabilidad y ciñéndose al Plan de Negocio
• Control y Vigilancia de la obra
• Gestión de la licitación para la elección de la constructora
• Tramitación y Estudio Aeronáutico</t>
  </si>
  <si>
    <t>Hubo una adenda al contrato por la variación del PEM desde 800.000 € hasta 1.700.000 €.</t>
  </si>
  <si>
    <t>Comercial BCN</t>
  </si>
  <si>
    <t>A.T. Control de la calidad en los establecimientos comerciales del aeropuerto de Barcelona</t>
  </si>
  <si>
    <t>126.054,70 $</t>
  </si>
  <si>
    <t>Germán Pariente Vázquez, Dirección de Espacios y Servicios Comerciales, División de Actuaciones Especiales, Mail: gpariente@aena.es, Tlf. 91.321.12.83</t>
  </si>
  <si>
    <t>El objetivo esencial de la contratación fue conseguir que Aena conociera la realidad efectiva y el nivel de calidad de la prestación de los servicios comerciales tal como estaban desarrollándose por parte de los concesionarios en el Aeropuerto, en paralelo al cumplimiento de los compromisos jurídicos asumidos en los contratos de concesión.</t>
  </si>
  <si>
    <t>Los servicios realizados por AIRIA fueron:
• Realización de encuestas de satisfacción a clientes
• Realización de control de calidad: horarios, precios, señalética, nivel de servicio, estado del establecimiento, etc.
• Realización de encuestas de tipo Mistery Shopper
• Control de los niveles de cumplimiento de los pliegos técnicos por las empresas concesionarias</t>
  </si>
  <si>
    <t>Handling BCN</t>
  </si>
  <si>
    <t>Seguimiento de los Niveles de Calidad del Servicio prestado por los Agentes de Handling en el Aeropuerto de Barcelona</t>
  </si>
  <si>
    <t>Noviembre 2012</t>
  </si>
  <si>
    <t>167.411,12 $</t>
  </si>
  <si>
    <t>372.941,67 $</t>
  </si>
  <si>
    <t>Emilia Martín Justo, Jefe Departamento Handling, Aeropuerto de Barcelona, Mail: emjusto@aena.es, Tlf. 93.298.47.85</t>
  </si>
  <si>
    <t>El objeto del servicio fue el de realizar un seguimiento de los niveles de calidad prestado por los agentes de handling y autohandling del Aeropuerto de Barcelona a compañías aéreas y pasajeros de vuelos comerciales.</t>
  </si>
  <si>
    <t>Los trabajos consistieron en:
• Análisis de la información y planificación de toma de datos: análisis exhaustivo de la configuración del aeropuerto de Barcelona, planificando la distribución semanal del personal en la toma de datos
• Toma de datos: distribución semanal para llegar al objetivo deseado de operaciones controladas. La toma de datos fue realizada por un equipos de 6 personas, con la supervisión de un Coordinador y dirigidos por el jefe de servicio durante el horario operativo
• Análisis de los datos y redacción de informes: elaboración de informes semanales  presentados a la Dirección del Expediente, elaboración de informes mensuales de seguimiento de los trabajos y de calidad del servicio prestado</t>
  </si>
  <si>
    <t>El contrato duró un total de 3 años, con dos prórrogas anuales.</t>
  </si>
  <si>
    <t>Tto Informático Barajas</t>
  </si>
  <si>
    <t>Servicio de Tratamiento Informático relativo a la Documentación del Desarrollo y Conservación de Infraestructuras</t>
  </si>
  <si>
    <t>54.099,11 $</t>
  </si>
  <si>
    <t>135.247,77 $</t>
  </si>
  <si>
    <t>Joaquín Arjona García-Borreguero, Director del Expediente</t>
  </si>
  <si>
    <t>El objeto del contrato fue la realización del Servicio de Tratamiento Informático relativo a la Documentación del desarrollo y conservación de Infraestructuras.</t>
  </si>
  <si>
    <t>Los servicios prestados fueron:
• Certificaciones: revisión, emisión del certificado, tramitación e incorporación de los datos a los diferentes seguimientos y herramientas informáticas
• Liquidaciones: revisión, correcciones, tramitación, e incorporación de los datos a los diferentes seguimientos y herramientas informáticas
• Tratamiento de datos para la elaboración del Plan Operativo Anual (POA) y de sus sucesivas actualizaciones (UPA)
• Inversiones: control y seguimiento de las inversiones, tanto de plazos como de importes (previsión de certificaciones, ajustes, desviaciones, etc.)
• Expedientes de inversión y gastos: seguimiento desde su planificación, tramitación, ejecución, realizando control de desviaciones de plazos e importes, de documentación, etc.
• Actualización continua de la base de datos de la herramienta informática GEPA
• Elaboración de consultas e informes, tanto predefinidos como personalizados
• Redacción de expedientes y estudios, archivo informático y en soporte papel y tratamiento de documentos asociados</t>
  </si>
  <si>
    <t>Existe un Certificado de Buena Ejecución provisional y un Acta de Recepción y Liquidación Definitiva.</t>
  </si>
  <si>
    <t>Hubo una prórroga del contrato firmada el 11 de junio de 2010, por un valor de 49.947,00 €, así como una prórroga tácita de 180 días, firmada el 30 de mayo de 2011, por un valor de 24.973,50 €.</t>
  </si>
  <si>
    <t>Agent</t>
  </si>
  <si>
    <t>Colaboración y apoyo en la preparación y presentación de una oferta a Aena</t>
  </si>
  <si>
    <t>7.581,91 $</t>
  </si>
  <si>
    <t>El objeto de la asistencia fue proporcionar los servicios requeridos para la colaboración y apoyo en la preparación y presentación de una oferta a Aena.</t>
  </si>
  <si>
    <t>Las tareas llevadas a cabo fueron:
• Preparación en español y presentación de la documentación administrativa requerida
• Apoyo y guía en los términos técnicos, legales, económicos y administrativos referentes a la verificación de documentación global y definición de hitos.</t>
  </si>
  <si>
    <t>ATRP Red Hidrantes GC</t>
  </si>
  <si>
    <t>162.447,87 $</t>
  </si>
  <si>
    <t>A.T.R.P. Ampliación y acondicionamiento de red de hidrantes de combustible en el Aeropuerto de Gran Canaria</t>
  </si>
  <si>
    <t>64.979,15 $</t>
  </si>
  <si>
    <t>Vanesa Cabañas Polo, Directora de Expediente, División de Proyectos Obra Civil, Edificio La Piovera, Calle Peonías, 12 - 3ª Planta, 28042 Madrid, Mail: vcabanas@aena.es, Tlf. 91.321.15.14</t>
  </si>
  <si>
    <t>El proyecto consistió en proyectar una nueva red de hidrantes de combustible para dar servicio a los puestos de la plataforma P32 a P66 (posiciones en remoto) y T15 a T22 (posiciones más próximas al Edificio Terminal) y adecuar la red de hidrantes existente entre los puestos P00 a P24 (posiciones en remoto) para adaptarla a la nueva configuración de puestos de estacionamiento diseñada en el proyecto por la reubicación de las puertas E y F de entrada a la plataforma.</t>
  </si>
  <si>
    <t>Los trabajos realizados en el expediente fueron:
• Trabajos previos
   - Recopilación de antecedentes
   - Toma de datos básicos y servicios
   afectados
   - Estudios previos
• Redacción del Proyecto Básico (Memoria, Anejos a la Memoria, Planos, Presupuesto)
   - Definición geométrica de las obras
   - Reposición de servidumbres y servicios
   afectados
   - Estudios hidrológicos, trazados, zonas
   afectadas, expropiación de terrenos
   - Presupuestos aproximados de las obras
• Redacción del Proyecto Constructivo (Memoria, Anejos a la Memoria, Planos, Pliego de Prescripciones Técnicas, Presupuesto)
• Replanteo previo sobre el terreno de la obra proyectada
• Plan de Aseguramiento de la Calidad</t>
  </si>
  <si>
    <t>La UTE estuvo formada por INOCSA INGENIERÍA, S.L. y AIRIA INGENIERÍA Y SERVICIOS, S.A.</t>
  </si>
  <si>
    <t>Remodelacion T2</t>
  </si>
  <si>
    <t>Proyecto de remodelación del Terminal 2 del Aeropuerto de Barcelona</t>
  </si>
  <si>
    <t>Octubre 2009</t>
  </si>
  <si>
    <t>30.869,21 $</t>
  </si>
  <si>
    <t>Ibérica de Estudios de Ingeniería, S.A. (IBERINSA)</t>
  </si>
  <si>
    <t>Ricardo Álvarez García-Lubén, División de Instalaciones, Obras Industriales e I+D+i, Calle Anabel Segura 11, Edificio D, Centro de Negocios ALBATROS, 28108 Alcobendas, Mail: ricardo.alvarez@acciona.es, Tlf. 91.142.03.00</t>
  </si>
  <si>
    <t>El objeto de la colaboración fue realizar los trabajos incluidos en el Proyecto de remodelación del Terminal 2 del Aeropuerto de Barcelona.</t>
  </si>
  <si>
    <t>El MoU sentó las bases de colaboración en dos ámbitos de actuación:
• Colaboración técnica en el ámbito de la definición inicial de la remodelación
   - Supervisión de la definición de los
   aspectos relativos a la funcionalidad
   aeronáutica, tales como distancias para la
   operación de las aeronaves y situación de
   posiciones de estacionamiento teniendo en
   cuenta las vías de servicio para vehículos y
   las zonas de movimiento de las pasarelas
   - Supervisión de la definición de las zonas
   de pasajeros así como el análisis de los
   flujos aeroportuarios dentro del edificio
   terminal, para asegurar el nivel de calidad
   de servicio ofrecido de acuerdo al Plan de
   Barcelona
   - Participación en las reuniones y
   asesoramiento al equipo de arquitectura.
   Proposición de alternativas y opinión
   experta acerca de las soluciones en
   desarrollo
   - Provisión de servicios al margen de los
   trabajos convencionales: estudios de
   dimensionamiento, de operatividad, de
   requisitos funcionales, de seguridad, de
   optimización de plataforma, de diseño, de
   servidumbres, etc.</t>
  </si>
  <si>
    <t>ATCV Espacio Arte MAD</t>
  </si>
  <si>
    <t>A.T.C.V. Decoración y Mobiliario para el Espacio Arte en la Terminal 4. Aeropuerto de Madrid Barajas</t>
  </si>
  <si>
    <t>Junio 2010</t>
  </si>
  <si>
    <t>62.821,55 $</t>
  </si>
  <si>
    <t>1.570,54 $</t>
  </si>
  <si>
    <t>Victoria Florez Laffón, Mail: mvflorez@aena.es</t>
  </si>
  <si>
    <t>El objeto del trabajo consistía en el apoyo técnico al Director de Obra en la fase inicial previa al inicio de la misma y la Asistencia Técnica posterior para el control y vigilancia de la obra hasta su terminación, así como el desempeño de las tareas de coordinación en materia de seguridad y salud, previas y durante su ejecución.</t>
  </si>
  <si>
    <t>Los trabajos previstos a realizar eran:
• Trabajos iniciales previos al inicio de la obra y aprobación del Plan de Obra
• Obra Civil y Edificación
   - Redacción del Plan de detalle de
   Supervisión y Control de Calidad de la Obra
   Civil y Edificación
   - Análisis Previo del Proyecto de
   Construcción y del Plan de Ejecución
   - Edificación del Plan de Supervisión y
   Control de Calidad de la Obra Civil y
   Edificación
   - Seguimiento del Plan de Obra y medición
   y valoración de la obra ejecutada
   - Elaboración de informes de resultados e
   incidencias referentes a la ejecución del
   control cualitativo, geométrico y cuantitativo, 
   seguimiento de la programación,
   seguimiento de la ejecución
   - Informes mensuales de Control de Calidad
   Obra Civil y Edificación
   - Elaboración de un estudio sobre el estado
   final de la Obra Civil y Edificación ejecutada
   - Redacción de un Informe para
   Conservación de la Obra Civil y Edificación
   - Elaboración de los posibles Modificados
   del Proyecto
• Instalaciones
   - Redacción del Plan de detalle de
   Supervisión y Control de Calidad de las
   Instalaciones
   - Ejecución del Plan de Supervisión y
   Control de Calidad de las Instalaciones
• Varios (estudios, lecturas, certificaciones, programas de vigilancia, informes mensuales de Control Medioambiental, informes de Coordinación de Seguridad y Salud)
• Sistema informatizado de control de obra</t>
  </si>
  <si>
    <t>A finales del mes de octubre de 2010, se procedió a la resolución del contrato por parte de Aena debido al hecho de que los trabajos no eran del interés de Aena.</t>
  </si>
  <si>
    <t>ATCV Pamplona</t>
  </si>
  <si>
    <t>Asistencia Técnica para el Control y Vigilancia de la obra: Adecuación del Campo de Vuelos del Aeropuerto de Pamplona</t>
  </si>
  <si>
    <t>Noáin</t>
  </si>
  <si>
    <t>136.570,70 $</t>
  </si>
  <si>
    <t>48.448,26 $</t>
  </si>
  <si>
    <t>Francisco Javier Martínez Aira, Director del Expediente</t>
  </si>
  <si>
    <t>El objeto del trabajo fue el apoyo técnico al Director de Obra en la fase inicial previa a su inicio y la Asistencia Técnica posterior para el control y vigilancia de la obra hasta su terminación, así como el desempeño de las tareas de coordinación en materia de seguridad y salud, previas y durante su ejecución.</t>
  </si>
  <si>
    <t>Los trabajos realizados por AIRIA fueron:
• Trabajos iniciales previos al inicio de la obra y aprobación del Plan de Obra
• Obra Civil y Edificación
   - Redacción del Plan de detalle de
   Supervisión y Control de Calidad de la Obra
   Civil y Edificación
   - Análisis Previo del Proyecto de
   Construcción y del Plan de Ejecución
   - Ejecución del Plan de Ejecución y Control
   de Calidad de la Obra Civil y Edificación
   - Seguimiento del Plan de Obra y medición
   y valoración de la obra ejecutada
   - Elaboración de informes de resultados e
   incidencias, conforme a la sistemática
   descrita en el Anejo nº2, referente a
   ejecución del control cualitativo, geométrico
   y cuantitativo, seguimiento de la programación, seguimiento de la ejecución
  - Informes mensuales de Control de
  Calidad Obra Civil y Edificación
   - Elaboración de un estudio sobre el estado
   final de la Obra Civil y Edificación ejecutada
   - Redacción de un informe para
   Conservación de la Obra Civil y Edificación
   - Elaboración de los posibles Modificados
   del Proyecto
• Instalaciones
   - Redacción del Plan de detalle de
   Supervisión y Control de Calidad de las
   Instalaciones
   - Ejecución del Plan de Supervisión y
   Control de Calidad de las Instalaciones
• Varios
   - Informe en materia medioambiental
   - Informes mensuales de Control
   Medioambiental
   - Informes mensuales de Seguridad y Salud
   - Coordinación de los planes de trabajo
   de las distintas empresas
   - Labores de coordinación de Seguridad y
   Salud
• Sistema informatizado de control de obra</t>
  </si>
  <si>
    <t>PC SAT BCN</t>
  </si>
  <si>
    <t>Redacción del Proyecto Constructivo del Edificio Satélite del Aeropuerto de Barcelona</t>
  </si>
  <si>
    <t>488.043,00 $</t>
  </si>
  <si>
    <t>5.463.717,30 $</t>
  </si>
  <si>
    <t>GHESA Ingeniería y Tecnología</t>
  </si>
  <si>
    <t>Miguel Ángel Hernández, Calle San Bernando, 123, 7ª Planta, 28015, Madrid, Mail: mhl@empre.es, Tlf. 91.594.46.32</t>
  </si>
  <si>
    <t>AIRIA colaboró en la realización de los trabajos correspondientes a "Asistencia técnica en el Proyecto Constructivo del Nuevo Edificio Satélite del Aeropuerto de Barcelona".</t>
  </si>
  <si>
    <t>Los trabajos realizados por AIRIA y enmarcados en el acuerdo de colaboración fueron:
• Planificación del lado aire y tierra
• Consultoría aeronáutica asociada a la definición del satélite
• Distribución de los segmentos de tráfico en el interior del edificio satélite
• Definición de flujos de pasajeros
• Análisis de operatividad del edificio
• Estudio de afecciones a la visibilidad desde la torre de control</t>
  </si>
  <si>
    <t>Asistencia Técnica de Control y Vigilancia de las obras "Adecuación del Campo de Vuelos en el Aeropuerto de Reus"</t>
  </si>
  <si>
    <t>462.464,89 $</t>
  </si>
  <si>
    <t>79.178,53 $</t>
  </si>
  <si>
    <t>Raúl Verdejo Peris, Director del Expediente, Dirección de Infraestructuras y Construcción, Mail: rvperis@aena.es, Tlf. 91.321.12.63</t>
  </si>
  <si>
    <t>El objeto del expediente fue la ejecución de una serie de actuaciones dentro del Campo de Vuelos del Aeropuerto de Reus, afectando a elementos como la pista y calle de rodaje, hasta vallados, sistemas de balizamiento, red de drenaje e incluso la Central Eléctrica del aeropuerto.</t>
  </si>
  <si>
    <t>Los servicios consistieron en la supervisión técnica, vigilancia de obras, control de materiales cuantitativo y cualitativo, topografía, mediciones, Coordinación de Seguridad y Salud, Medio Ambiente, Seguridad Operacional y Protección del Patrimonio Cultural.</t>
  </si>
  <si>
    <t>TWR ZGZ</t>
  </si>
  <si>
    <t>Apoyo Aeronáutico en la redacción del proyecto constructivo de la nueva Torre de control del Aeropuerto de Zaragoza</t>
  </si>
  <si>
    <t>28.773,17 $</t>
  </si>
  <si>
    <t>GOP Oficina de Proyectos S.A.</t>
  </si>
  <si>
    <t>Bruce S. Fairbanks, GOP Oficina de Proyectos S.A., Paseo General Martínez Campos 46, 28010 Madrid, Mail: bfairbanks@gop.es, Tlf. 91.310.11.66</t>
  </si>
  <si>
    <t>El objeto del contrato fue la realización de tareas relacionadas con la Asistencia para la Redacción del Proyecto: Nueva Torre de Control en el Aeropuerto de Zaragoza.</t>
  </si>
  <si>
    <t xml:space="preserve">Las tareas realizadas por AIRIA fueron:
• Redacción de Anejo 20. Cumplimiento normas técnicas
• Redacción de Anejo 21. Seguridad Operacional
 </t>
  </si>
  <si>
    <t>Rev. Rtes BCN</t>
  </si>
  <si>
    <t>Servicio de Control de Precios de Establecimientos de Restauración del Aeropuerto</t>
  </si>
  <si>
    <t>5.374,16 $</t>
  </si>
  <si>
    <t>Josep Garrido Figuerola, Jefe de Departamento de Desarrollo Comercial, Mail: jgarrido@aena.es, Tlf. 93.298.38.51</t>
  </si>
  <si>
    <t>El objeto del contrato fue el Servicio de Control de Precios de Establecimientos de Restauración del Aeropuerto de Barcelona.</t>
  </si>
  <si>
    <t>Las tareas realizadas por AIRIA fueron:
• Obtención de las listas de precios de los establecimientos de restauración en T1 y T2
• Comprobación de que todos los precios eran coincidentes
• Visita de los establecimientos del centro de Barcelona para comprobar que los precios fueran iguales a los del aeropuerto
• Comprobación de que en el ámbito nacional de núcleos urbanos los establecimientos contaban con más o menos 25 puntos abiertos</t>
  </si>
  <si>
    <t>ATCV CV LOGROÑO</t>
  </si>
  <si>
    <t>Asistencia para el Control y Vigilancia de la Obra de Adecuación de las NTAC del Aeropuerto de Logroño</t>
  </si>
  <si>
    <t>Agoncillo</t>
  </si>
  <si>
    <t>108.106,21 $</t>
  </si>
  <si>
    <t>21.858,38 $</t>
  </si>
  <si>
    <t>Francisco Javier Martínez Aira, Director del Expediente, Dirección de Infraestructuras, Calle Peonías 12, 3ª Planta, 28042 Madrid, Mail: fjmartinez@aena.es, Tlf. 91.321.11.78</t>
  </si>
  <si>
    <t>El objeto del trabajo estuvo relacionado con el apoyo técnico al Director de Obra en la fase inicial previa a su inicio y la Asistencia Técnica posterior para el control y vigilancia de la obra hasta su terminación, así como el desempeño de tareas de coordinación en materia de seguridad y salud, previas y durante su ejecución.</t>
  </si>
  <si>
    <t>Los trabajos realizados por AIRIA fueron:
• Trabajos iniciales previos al inicio de la obra y aprobación del Plan de Obra
• Obra Civil y Edificación
   - Redacción del Plan de detalle de
   Supervisión y Control de Calidad de la Obra
   Civil y Edificación
   - Análisis Previo del Proyecto de
   Construcción y del Plan de Ejecución
   - Ejecución del Plan de Supervisión y
   Control de Calidad de la Obra Civil y 
   Edificación
   - Seguimiento del Plan de Obra y medición
   y valoración de la obra ejecutada
   - Elaboración de informes de resultados e
   incidencias, conforme a la sistemática
   descrita en el Anejo nº2, referente a
   ejecución del control cualitativo, geométrico
   y cuantitativo, seguimiento de la 
   programación, seguimiento de la ejecución
   - Informes mensuales de Control de
  Calidad Obra Civil y Edificación
   - Elaboración de un estudio sobre el estado
   final de la Obra Civil y Edificación ejecutada
   - Redacción de un informe para
   Conservación de la Obra Civil y Edificación
   - Elaboración de los posibles Modificados
   del Proyecto
• Instalaciones
   - Redacción del Plan de detalle de
   Supervisión y Control de Calidad de las
   Instalaciones
   - Ejecución del Plan de Supervisión y
   Control de Calidad de las Instalaciones
• Varios
   - Informe en materia medioambiental
   - Informes mensuales de Control
   Medioambiental
   - Informes mensuales de Seguridad y Salud
   - Coordinación de los planes de trabajo
   de las distintas empresas
   - Labores de coordinación de Seguridad y
   Salud
• Sistema informatizado de control de obra</t>
  </si>
  <si>
    <t>La UTE estaba formada por KV Consultores y Airia Ingeniería y Servicios, S.A.</t>
  </si>
  <si>
    <t>Control Soportes publicitarios Barcelona</t>
  </si>
  <si>
    <t>Asistencia Técnica para el Control y Verificación de los Soportes Publicitarios en el Aeropuerto de Barcelona</t>
  </si>
  <si>
    <t>4.680,72 $</t>
  </si>
  <si>
    <t>Paloma Gutiérrez Salvador, Mail: pgsalvador@aena.es, Tlf. 93.297.15.99</t>
  </si>
  <si>
    <t>El alcance del contrato estuvo relacionado con la Asistencia Técnica para el Control y Verificación de los Soportes Publicitarios en el Aeropuerto de Barcelona.</t>
  </si>
  <si>
    <t>La lista de tareas realizadas fue:
• Control y listado de los elementos publicitarios situados en las terminales T1 y T2 del Aeropuerto de Barcelona
• Actualización de los correspondientes planos con las fotografías de los elementos analizados
• Elaboración de un informe final</t>
  </si>
  <si>
    <t>El Certificado de Buena Ejecución es provisional.</t>
  </si>
  <si>
    <t>Ampliación Terminal Valladolid</t>
  </si>
  <si>
    <t>Proyecto Constructivo de la Ampliación del Edificio Terminal del Aeropuerto de Valladolid</t>
  </si>
  <si>
    <t>Villanubla</t>
  </si>
  <si>
    <t>115.501,10 $</t>
  </si>
  <si>
    <t>El expediente de redacción de proyecto contempló diversas actuaciones, entre ellas, la propuesta de un diseño funcional, la ampliación del edificio Terminal con una nueva zona de llegadas, una nueva sala de recogida de equipajes y un vestíbulo de llegadas ampliado. También se ampliaba el vestíbulo de facturación y el patio de carrillos en salidas.</t>
  </si>
  <si>
    <t>El alcance de los trabajos realizados por AIRIA fue:
• Análisis de operatividad
   - Estudio de las afecciones a la visibilidad
   - Gestión de incidencias en los aspectos de
   construcción
• Seguridad Operacional
   - Revisión del cumplimiento del Anexo 14 de
   la OACI y el Real Decreto de Certificación
   de Aeródromos
   - Nombramiento del responsable de
   seguridad operacional del proyecto
• Estudio Funcional
   - Definición de de tráfico futuro
   - Diseño funcional del edificio ampliado y
   su integración final
   - Análisis y definición de flujos de pasajeros,
   empleados y mercancías
   - Dimensionamiento de elementos
   aeroportuarios y superficies, seguridad
   aeroportuaria, integración con la plataforma
   de aeronaves, etc.
   - Atención a los cambios de requerimientos
   planteados por la Dirección del Expediente</t>
  </si>
  <si>
    <t>1.088 PHD</t>
  </si>
  <si>
    <t>Operaciones ACE 2010</t>
  </si>
  <si>
    <t>Prestación del Servicio de Redacción y Mantenimiento de Planes y Procedimientos de Operaciones en el Aeropuerto de Lanzarote</t>
  </si>
  <si>
    <t>76.670,19 $</t>
  </si>
  <si>
    <t>51.113,46 $</t>
  </si>
  <si>
    <t>Narciso Jose Perez Redondo, Director del Expediente</t>
  </si>
  <si>
    <t>El objeto de la prestación del servicio efectuado fue proporcionar una asistencia para:
• Actualización y mantenimiento del Plan de Emergencia
• Redacción y actualización de procedimientos operativos
• Redacción y supervisión de informes técnicos
• Aseguramiento de que se mantendría vigente la documentación asociada entre agentes de handling y el aeropuerto
• Elaboración y actualización de planos</t>
  </si>
  <si>
    <t>Los servicios proporcionados fueron:
• Plan de Emergencia
   - Recopilación y estudio de toda la
   normativa vigente relativa al Plan
   - Estudio de las debilidades, puntos fuertes,
   fortalezas y oportunidades del Plan
   - Propuesta y desarrollo de mejoras,
   coordinando las labores necesarias
   - Redacción y adaptación de los cambios
   a la aplicación TITAN
   - Elaboración de un calendario de
   simulacros y prácticas de acuerdo a la
   normativa vigente
   - Realización de tutorías, charlas
   informativas y cualquier otra función de
   difusión y coordinación de todos los
   implicados en el funcionamiento del Plan
   de Emergencia
   - Preparación y ejecución de los simulacros
   y prácticos
   - Evaluación económica de todas las tareas
   a realizar
   - Cumplimentación de la documentación de
   tipo medioambiental (identificación de
   impactos y consideraciones
   medioambientales) relacionada con la
   ejecución del proyecto de una obra
   - Edición del conjunto de documentos y las
   copias necesarias para la realización de los
   servicios
   - Servicios de asesoramiento necesarios en
   temas especializadas, instalaciones,
   normativas, etc.
   - Servicios de mecanografía, delineación,
   reprografía y encuadernación
• Informes Técnicos
   - Recopilación y estudio de toda la
   normativa vigente
   - Estudio de debilidades, puntos fuertes,
   fortalezas y oportunidades del Manual
   - Propuesta y desarrollo de mejoras,
   coordinando las labores necesarias para
   llevarlas a cabo
   - Prestación del servicio de coordinación
   con los Servicios Centrales de Aena en lo
   relativo al Manual de Aeródromo y la
   certificación
   - Redacción de informes técnicos relativos
   a la certificación de aeródromos
   - Redacción y supervisión de informes
   técnicos
   - Servicios de mecanografía, delineación,
   reprografía y encuadernación
• Procedimientos operativos
   - Procedimientos e instrucciones operativas
   del Aeropuerto, familiarización con los
   aspectos y áreas
   - Recopilación y estudio de toda la
   normativa vigente
   - Estudio de las debilidades y puntos fuertes
   - Propuesta y desarrollo de mejoras
   - Prestación del servicio de coordinación del
   Aeropuertocon los Servicios Centrales de
   Aena en lo relativo a procedimientos de
   operaciones
   - Redacción de procedimientos operativos
   - Adaptación de procedimientos a los
   procesos y Sistema de Calidad del
   Aeropuerto
   - Servicios de mecanografía, delineación,
   reprografía y encuadernación
• Contratos con los agentes de handling
   - Asegurar el mantenimiento de la
   documentación asociada en vigor
   - Prestación del servicio de coordinación del
   Aeropuerto con los Servicios Centrales de
   Aena
• Actualización de Planos</t>
  </si>
  <si>
    <t>Se produjo una renovación del contrato a finales de septiembre de 2011 (9.176,39 €), así como una prórroga de 4 meses, hasta abril de 2012 (14.507,64 €).</t>
  </si>
  <si>
    <t>ATCV Hangares BIO</t>
  </si>
  <si>
    <t>A.T.C.V. Traslado de Hangares de Franja Pista 10-28. Aeropuerto de Bilbao</t>
  </si>
  <si>
    <t>24.403,40 $</t>
  </si>
  <si>
    <t>Alejandro del Pozo Cerezo, Director del Expediente, Dirección de Infraestructuras, Calle Peonías, 12, 3ª Planta, 28042 Madrid, Mail: adelpozo@aena.es, Tlf. 91.321.11.18</t>
  </si>
  <si>
    <t>El objeto del trabajo fue el apoyo técnico al Director de Obra en la fase inicial previa a su inicio y la Asistencia Técnica posterior para el control y vigilancia de la obra hasta su terminación, así como el desempeño de las tareas de coordinación en materia de Seguridad y Salud, previas y durante la ejecución.</t>
  </si>
  <si>
    <t>Patrimonio 2011</t>
  </si>
  <si>
    <t>Revisión y Actualización del Inventario de Patrimonio del Aeropuerto de Madrid-Barajas</t>
  </si>
  <si>
    <t>88.841,58 $</t>
  </si>
  <si>
    <t>300.751,71 $</t>
  </si>
  <si>
    <t>Antonio Martínez Sanz, Patrimonio e Inversiones, Departamento de Contabilidad y Patrimonio, División Económico-Administrativa, Terminal 2 - 4ª Planta, Mail: antmartinez@aena.es, Tlf. 91.393.65.21</t>
  </si>
  <si>
    <t>AIRIA se encargó de realizar los trabajos correspondientes a la revisión física de las áreas interiores del aeropuerto para su actualización en Autocad e incorporación al Inventario anual.</t>
  </si>
  <si>
    <t>Los trabajos desarrollados fueron:
• Fase 1. Planificación
   - Planificación del calendario de la revisión
   del inventario del aeropuerto
   - Presentación y aprobación de los medios
   humanos y materiales asignados a la
   prestación del servicio
   - Definición conjunta de la metodología para
   los trabajos de campo, en especial las
   clases y tipos de inmovilizados y normas
   fiscales de deducción de bajas
   - Aceptación de la metodología de
   conciliación, en especial las clases y tipos
   de inmovilizado
   - Definición de los resultados del proyecto
   - Preparación de la información necesaria
   para realizar los trabajos de campo,
   consistente en los planos para la
   identificación de las áreas y los listados con
   información en SAP
• Fase 2. Trabajo de localizaciones físicas
   - Trabajos de campo en localizaciones
   físicas
• Fase 3. Trabajo de campo para la revisión de inventario
   - Trabajo de campo para la toma de datos,
   necesaria para la actualización del
   inventario de bienes de todo el inmovilizado
   - Realización de Base de Datos Fotográfica
   y entrega mediante solución informática
• Fase 4. Conciliación Contable
   - Revisión e inclusión de las nuevas
   ubicaciones y áreas definidas
   - Revisión de las altas practicadas con
   posterioridad a la fecha de cierre del
   listado de inventario entregado al inicio de
   la fase 2
   - Revisión de las bajas practicadas con
   posterioridad a la fecha de cierre del
   listado de inventario</t>
  </si>
  <si>
    <t xml:space="preserve">Se produjeron diversas prórrogas: la primera entró en vigor en enero de 2012 (81.995,00 €), la segunda en enero de 2013 (81.995,00 €) y la tercera, de 3 meses, en enero de 2014 (20.498,76 €). </t>
  </si>
  <si>
    <t>Handling Aena</t>
  </si>
  <si>
    <t>Supervisión de Niveles de Calidad y de la Prestación del Servicio de Asistencia en Tierra (Handling) en los Aeropuertos de Aena</t>
  </si>
  <si>
    <t>166.477,07 $</t>
  </si>
  <si>
    <t>332.954,13 $</t>
  </si>
  <si>
    <t>Antonio Ruiz de la Mata, Director del Expediente, División de Servicios Aeroportuarios, Dirección de Operaciones y Sistemas de Red, Mail: adelamata@aena.es, Tlf. 91.321.17.03</t>
  </si>
  <si>
    <t>La finalidad del servicio fue, mediante la realización de oleadas de mediciones objetivas, supervisar el correcto y eficiente funcionamiento del servicio de asistencia en tierra, y los niveles de calidad prestados en cada aeropuerto.</t>
  </si>
  <si>
    <t>Los servicios de supervisión incluyeron y giraron en torno a las siguientes áreas:
• Supervisión de los niveles de calidad del servicio
• Comprobación de protocolos de asistencia, trato y atención al pasajero (servicio de información y atención al pasajero, puntos de información, tratamiento de reclamaciones, gestión de equipajes en Lost and Found)
• Adecuación de medios puestos a disposición del servicio (equipos disponibles y estado, zonas de estacionamiento de equipos, medios utilizados por operación)
• Descripción general de procedimientos de asistencia en tierra (operación en patio de carrillos, asistencia a aviación general, mantenimiento en línea, asistencia de limpieza, asistencia a vuelos cargueros)</t>
  </si>
  <si>
    <t>Hay un Certificado de Buena Ejecución provisional.</t>
  </si>
  <si>
    <t>Hubo una prórroga del contrato, firmada el 15 de junio de 2012, por un importe de 153.647,50 €.</t>
  </si>
  <si>
    <t>ATRP SEI GIR</t>
  </si>
  <si>
    <t>Asistencia Técnica para la Redacción del Proyecto: Plataforma Prácticas SEI. Aeropuerto de Girona-Costa Brava</t>
  </si>
  <si>
    <t>14.634,75 $</t>
  </si>
  <si>
    <t>Marcela Pérez Fernández, División de Obra Civil, Dirección de Infraestructuras, Calle Peonías 12, 3ª Planta, 28042 Madrid, Mail: marperez@aena.es, Tlf. 91.321.11.19</t>
  </si>
  <si>
    <t>La finalidad de la Asistencia Técnica fue redactar los Proyectos Básico y Constructivo del expediente, de acuerdo a los trabajos y especificaciones contenidos en el Pliego y las indicaciones del Director del Expediente.</t>
  </si>
  <si>
    <t>El alcance de los trabajos realizados fue:
• Trabajos Previos
   - Recopilación de antecedentes
   - Toma de datos básicos y servicios
   afectados
   - Estudios previos
• Redacción del Proyecto Básico
   - Definición geométrica de las obras
   - Reposición de servidumbres y servicios
   afectados 
   - Aspectos como estudios hidrológicos,
   trazados, zonas afectadas, expropiación de
   terrenos, etc.
   - Presupuestos aproximados de las obras
• Redacción del Proyecto Constructivo
   - Memoria, Anejos, Planos, Pliego de
   Prescripciones Técnicas y Presupuesto
   - Información sobre los servicios afectados
   por la obra
   - Información completa sobre las medidas
   estudiadas para mantener la operatividad
   del aeropuerto
• Replanteo previo sobre el terreno de la obra proyectada
• Correcciones del Proyecto Constructivo
• Plan de Aseguramiento de la Calidad
• Designación del Coordinador de Seguridad y Salud durante la elaboración del Proyecto</t>
  </si>
  <si>
    <t>Plataforma SEI Malaga</t>
  </si>
  <si>
    <t>Nueva Plataforma SEI en el Aeropuerto de Málaga</t>
  </si>
  <si>
    <t>26.545,75 $</t>
  </si>
  <si>
    <t>Assignia Infraestructuras S.A. - EOC de obras y Servicios S.A.</t>
  </si>
  <si>
    <t>Miguel Rodriguez, UTE E.O. Málaga, Mail: miguel_rodriguez@assignia.com</t>
  </si>
  <si>
    <t>El objeto del contrato fue la redacción del proyecto y asesoramiento continuo para la construcción de una Plataforma de Prácticas SEI en el Aeropuerto de Málaga.</t>
  </si>
  <si>
    <t>Las tareas realizadas fueron:
• Redacción del proyecto: drenaje, abastecimiento eléctrico de sistemas de depuración
• Apoyo técnico ante la dirección del expediente
   - Apoyo técnico durante la realización de las
   obras
   - Asistencia a reuniones para la correcta
   definición de las obras</t>
  </si>
  <si>
    <t>Visado Outlet MAD</t>
  </si>
  <si>
    <t>Visado de los Proyectos y Certificados finales de Obra de un local en el Aeropuerto de Madrid-Barajas. Terminal T2</t>
  </si>
  <si>
    <t>1.034,74 $</t>
  </si>
  <si>
    <t>Ancaster arquitectos e ingenieros, s.l.</t>
  </si>
  <si>
    <t>Alberto Yagüe López, ancaster arquitectos e ingenieros, s.l., Director General, Calle Manantial, 6 - Portal 2 - 3º C, 28942 Fuenlabrada, Mail: ayague@ancaster.info, Tlf. 91.607.60.43</t>
  </si>
  <si>
    <t>El objeto del contrato fue la solicitud de visado respecto a un local para outlet.</t>
  </si>
  <si>
    <t>Las tareas realizadas fueron el visado de la siguiente documentación:
• Proyecto Básico y de Ejecución
• Proyecto de actividad
• Certificado de Obra
• Certificado Final de Actividad
• Plan de Autoprotección</t>
  </si>
  <si>
    <t>Actualizacion superficies MAD</t>
  </si>
  <si>
    <t>Servicio de Actualizacion Continua de Superficies (Interiores y Exteriores) del Aeropuerto de Madrid-Barajas</t>
  </si>
  <si>
    <t>58.928,45 $</t>
  </si>
  <si>
    <t>176.785,34 $</t>
  </si>
  <si>
    <t>Fernanda Bermejo Martinez, Directora del Expediente, Jefe Departamento Gestión de Urbanizaciones, División Comercial, Mail: fbermejo@aena.es, Tlf. 91.393.95.59</t>
  </si>
  <si>
    <t>El alcance del expediente comprendió las tareas de revisión, actualización y adaptación a la "imagen fiel" de la situación patrimonial del inventario de las superficies del Aeropuerto de Madrid/Barajas de acuerdo con la definición de los servicios expresados en el pliego.</t>
  </si>
  <si>
    <t>Los servicios desarrollados fueron los siguientes:
• Fase 1. Planificación
   - Planificación del calendario de la revisión
   de inventario del aeropuerto
   - Presentación y aprobación de los medios
   humanos y materiales asignados a la
   prestación del servicio
   - Constitución de un Comité de Seguimiento
   que garantizara el avance del proyecto
   - Definición conjunta de la metodología
   para los servicios de campo
   - Definición de los resultados alcanzados
   - Definición, elaboración y seguimiento de
   solicitudes de obra
   - Seguimiento de altas y devoluciones de
   locales
• Fase 2. Servicio de localizaciones físicas
   - Estudios de campo en localizaciones
   físicas
• Fase 3. Servicio de campo para la revisión de inventario
   - Estudios de campo para la toma de datos,
   necesario para la actualización del
   inventario de superficies de todo el
   aeropuerto
• Fase 4. Actualización de los datos en el GIS del aeropuerto
• Fase 5. Control de entregas y devoluciones de locales y seguimiento de solicitudes de obra</t>
  </si>
  <si>
    <t>Se produjeron dos prórrogas, de 54.190,60 € cada una, iniciadas en diciembre de 2013 y 2914, respectivamente.</t>
  </si>
  <si>
    <t>Rover-Alcisa AGP</t>
  </si>
  <si>
    <t>Oferta de colaboración en la preparación del concurso DIN 326/12 "Desarrollo y mejora de Espacios Comerciales T4 y T4S. Aeropuerto de Madrid Barajas"</t>
  </si>
  <si>
    <t>Rover Alcisa S.A.</t>
  </si>
  <si>
    <t>Susana Ortega Garrido, Departamento de Estudios de Edificación, Mail: sortega@roveralcisa.com, Tlf. 96.339.09.50</t>
  </si>
  <si>
    <t>El alcance de la oferta fue la preparación de la documentación técnica para la presentación por parte de Rover Alcisa del expediente DIN 326/2012.</t>
  </si>
  <si>
    <t>Los puntos realizados por AIRIA fueron:
• Operatividad
• Seguridad Operacional</t>
  </si>
  <si>
    <t>Visados MAD URBAQ</t>
  </si>
  <si>
    <t>Visado de los Proyectos y Certificados finales de Obra de los cuatro espacios comerciales</t>
  </si>
  <si>
    <t>3.240,54 $</t>
  </si>
  <si>
    <t>URBAQ Arquitectos s.l.</t>
  </si>
  <si>
    <t>Fernando Liébana Diaz, Arquitecto, Calle El Chantre, 1 - Bajo, 24005 León, Mail: fernando@urbaq.es, Tlf. 987.07.11.11</t>
  </si>
  <si>
    <t>Urbaq arquitectos s.l. se puso en contacto con Airia con el fin de realizar el visado de los Proyectos y Certificados necesarios para la apertura de cuatro espacios comerciales en el Aeropuerto de Madrid-Barajas.</t>
  </si>
  <si>
    <t>Las tareas llevadas a cabo por AIRIA fueron:
• Visado de Proyectos Básicos y de Ejecución relativos a Local tienda Walk Through Terminal 1, Thinking Terminal 1, Duty Free en la Terminal 2, Nuevo Walk Through en la Terminal 2.</t>
  </si>
  <si>
    <t>ATRP Publi CEMUSA</t>
  </si>
  <si>
    <t>Proyecto eléctrico para la instalación de soportes publicitarios en el aeropuerto de Madrid-Barajas</t>
  </si>
  <si>
    <t>15.115,27 $</t>
  </si>
  <si>
    <t>Jose Maria Pallarés Martinez, Coordinador Aeropuertos Zona Centro, Departamento de Operaciones, Calle Francisco Sancha, 24, 28034 Madrid, Mail: jmpallaresm@fcc.es, Tlf. 91.358.33.44</t>
  </si>
  <si>
    <t>La colaboración entre CEMUSA y AIRIA estuvo relacionada con el visado de un proyecto eléctrico que mostrase la solución constructiva a la demanda energética de cada uno de los elementos publicitarios.</t>
  </si>
  <si>
    <t>El alcance de la colaboración se circunscribió a:
• Redacción del proyecto eléctrico de los 40 soportes publicitarios
   - Memoria
   - Planos
   - Mediciones
• Firma y visado del proyecto en el Colegio de Ingenieros Aeronáuticos
• Asistencia a reuniones
• Inventario y visita de instalaciones
• Replanteo del proyecto</t>
  </si>
  <si>
    <t>Consignas MAD II</t>
  </si>
  <si>
    <t>Colaboración y apoyo en el inicio de una tienda de equipajes perdidos y objetos de viaje en el Aeropuerto de Barajas</t>
  </si>
  <si>
    <t>81.843,55 $</t>
  </si>
  <si>
    <t>EXCESS BAGGAGE GROUP LTD.</t>
  </si>
  <si>
    <t>David Elliott, CEO, Excess Baggage Group Ltd, 4 Hannah Close, London NW10 0UX, Mail: David.Elliott@excess-baggage.com, Tlf. 020.8324.2002</t>
  </si>
  <si>
    <t>El objeto del contrato fue la proporción de servicios relativos a la colaboración y apoyo en el inicio de una tienda de equipajes perdidos y objetos de viaje en el Aeropuerto de Barajas.</t>
  </si>
  <si>
    <t>Se definieron los siguientes aspectos:
• Proyectos: preparación en español y presentación de los proyectos requeridos y la supervisión de los trabajos; project management
• Apoyo técnico: apoyo y guía durante el
proceso del proyecto en aspectos técnicos,
legales, económicos y administrativos,
incluyendo verificación de la documentación
global y supervisión de los hitos
• Apoyo administrativo: apoyo y guía en las relaciones con Aena durante el proceso de inicio: proceso administrativo, negociación, hoja de ruta, plan de transición, etc.
• Recursos humanos: apoyo en la selección de recursos humanos y preparación para el conocimiento y acceso al aeropuerto</t>
  </si>
  <si>
    <t>MAD New WT T2</t>
  </si>
  <si>
    <t>Visado del Proyecto de Ejecución y de Actividad del espacio comercial</t>
  </si>
  <si>
    <t>1.522,40 $</t>
  </si>
  <si>
    <t>Urbaq arquitectos s.l. se puso en contacto con Airia con el fin de realizar el visado de los Proyectos de Ejecución y Actividad necesarios para la apertura de un espacio comercial en el Aeropuerto de Madrid-Barajas, en la Terminal 2.</t>
  </si>
  <si>
    <t>Las tareas llevadas a cabo por AIRIA fueron:
• Visado de Proyectos Básicos y de Ejecución de tienda MAD New WT T2
• Visado de Proyecto de Actividad de tienda MAD New T2</t>
  </si>
  <si>
    <t>VISADO NAVE LOGISTICA</t>
  </si>
  <si>
    <t>Servicios de Visado de Espacios Comerciales</t>
  </si>
  <si>
    <t>1.555,02 $</t>
  </si>
  <si>
    <t>Construcciones George Mirica</t>
  </si>
  <si>
    <t>George Mirica, Mail: mirgeoconstrucciones@yahoo.es, Tlf. 692.129.372</t>
  </si>
  <si>
    <t>El alcance de la oferta fue la revisión, firma de un ingeniero aeronáutico y el Visado del Proyecto Básico y de Ejecución para la Habilitación de Nave Logística en restaurante.</t>
  </si>
  <si>
    <t>Las tareas desarrolladas fueron:
• Visado de Proyecto Básico y de Ejecución
• Visita de Revisión de las obras</t>
  </si>
  <si>
    <t>PRYCONSA</t>
  </si>
  <si>
    <t>Evaluación en materia de servidumbres aeronáuticas de la construcción de un Edificio e instalación de 2 grúas, en el Término Municipal de Madrid, en la calle Mirador de la Reina, 119</t>
  </si>
  <si>
    <t>Noviembre 2013</t>
  </si>
  <si>
    <t>2.174,86 $</t>
  </si>
  <si>
    <t>Jose León, Promociones y Construcciones PYC PRYCONSA, S.A., Glorieta de Cuatro Caminos 6 y 7, 5ª Planta, 28020 Madrid, Mail: jleon@pryconsa.es, Tlf. 91.514.03.00</t>
  </si>
  <si>
    <t>El objeto del contrato fue la realización de la consultoría de servicios respecto a la solicitud de servidumbres aeronáuticas enviada por PRYCONSA a AESA.</t>
  </si>
  <si>
    <t>Principalmente, el servicio realizado fue la gestión de la tramitación a fin de obtener la autorización necesaria para el inicio de las obras.</t>
  </si>
  <si>
    <t>Consignas BCN</t>
  </si>
  <si>
    <t>Colaboración y servicios de apoyo en el inicio de una tienda de equipajes perdidos y objetos de viaje en el Aeropuerto de Barcelona</t>
  </si>
  <si>
    <t>Mayo 2014</t>
  </si>
  <si>
    <t>66.094,06 $</t>
  </si>
  <si>
    <t>El objeto del contrato fue la proporción de servicios relativos a la colaboración y apoyo en el inicio de una tienda de equipajes perdidos y objetos de viaje en el Aeropuerto de Barcelona.</t>
  </si>
  <si>
    <t>Los servicios realizados fueron:
• Proyectos y apoyo técnico: preparación de documentación en español y presentación de los proyectos requeridos; project managementy control de fechas límite; verificación de documentación técnica; supervisión de trabajos.</t>
  </si>
  <si>
    <t>ATRP Salas VIP MAD</t>
  </si>
  <si>
    <t>Asistencia Técnica para la Redacción del Proyecto: Remodelación y Adecuación de 5 Salas VIP en el Aeropuerto Adolfo Suárez Madrid-Barajas</t>
  </si>
  <si>
    <t>112.946,93 $</t>
  </si>
  <si>
    <t>Amparo Rada Martínez, Directora de Proyectos de Equipamiento, División de Planificación y Proyectos Constructivos, Dirección de Infraestructuras y Tecnologías, Calle Peonías 12, 3ª Planta, 28042 Madrid, Mail: arada@aena.es, Tlf. 91.321.12.30</t>
  </si>
  <si>
    <t>El objeto del contrato fue el de prestar los trabajos de ingeniería necesarios para la ejecución de las obras de remodelación a adecuación de 5 salas VIP en diferentes edificios del Aeropuerto de Madrid-Barajas.</t>
  </si>
  <si>
    <t>Los trabajos realizados por la UTE fueron:
• Trabajos previos
   - Recopilación de antecedentes
   - Toma de datos básicos y servicios
   afectados
   - Estudios previos
   - Propuesta de diseño
• Redacción del Proyecto Constructivo
   - Memoria, Anerjos a la Memoria, Planos,
   Pliego de Prescripciones Técnicas y
   Presupuesto
• Replanteo previo sobre el terreno de la obra proyectada
• Plan de Aseguramiento de la Calidad específico del Expediente
• Designación del Coordinador de Seguridad y Salud durante la elaboración del proyecto
• Resumen ejecutivo del proyecto</t>
  </si>
  <si>
    <t>La UTE estuvo formada por INTEMAC y AIRIA.</t>
  </si>
  <si>
    <t>39.825,82 $</t>
  </si>
  <si>
    <t>Visado Victoria Secret</t>
  </si>
  <si>
    <t>Servicios de Visado de Tienda Victoria Secret</t>
  </si>
  <si>
    <t>1.544,15 $</t>
  </si>
  <si>
    <t>ARES Ingenieros</t>
  </si>
  <si>
    <t>José Pardos Barbero, Avenida de José Hierro, 92, Local 9, Rivas Vaciamadrid, 28521 Madrid, Mail: jpardos@ares-ingenieros.es, Tlf. 91.329.46.10</t>
  </si>
  <si>
    <t>El alcance de la oferta fue la firma de un ingeniero aeronáutico colegiado y el Visado a través del Colegio Oficial de Ingenieros Aeronáuticos, de la tienda Victoria's Secret, en la Terminal 4 del Aeropuerto de Madrid Barajas, sobre Proyecto de Ejecución y Actividad y Certificado Final de Obra.</t>
  </si>
  <si>
    <t>Los servicios realizados por AIRIA fueron:
• Proyecto de Ejecución y Actividad
• Certificado Final de Obra</t>
  </si>
  <si>
    <t>Peritaje robo helicoptero</t>
  </si>
  <si>
    <t>Peritaje respecto al robo de un helicóptero</t>
  </si>
  <si>
    <t>489,34 $</t>
  </si>
  <si>
    <t>Daniel Peter Zobel</t>
  </si>
  <si>
    <t>Calle Comercio, 2, 1º Izquierda, 28007 Madrid</t>
  </si>
  <si>
    <t>El objeto del servicio fue la realización de un peritaje debido al robo de un helicóptero.</t>
  </si>
  <si>
    <t>Tasación Aeronaves MAD</t>
  </si>
  <si>
    <t>Tasación de aeronaves en el aeropuerto de Madrid-Barajas</t>
  </si>
  <si>
    <t>1.086,34 $</t>
  </si>
  <si>
    <t>El objeto del contrato menor fue la realización de un estudio de tasación en el que se describió el estado general de las aeronaves, se analizó su documentación técnica y se propuso un valor exacto de dichas aeronaves.</t>
  </si>
  <si>
    <t>Las tareas realizadas fueron:
• Estudio de campo de las aeronaves
• Estudio de la documentación técnica
• Redacción de Informe de tasación de la aeronave</t>
  </si>
  <si>
    <t>ATRP Arenosillo</t>
  </si>
  <si>
    <t>Asistencia Técnica a la Preparación del Concurso y Elaboración del Proyecto Constructivo de las Actuaciones Comprendidas en el Proyecto CEUS en El Arenosillo, Huelva</t>
  </si>
  <si>
    <t>Moguer</t>
  </si>
  <si>
    <t>146.802,96 $</t>
  </si>
  <si>
    <t>76.120,05 $</t>
  </si>
  <si>
    <t>ASSIGNIA Infraestructuras S.A.</t>
  </si>
  <si>
    <t>María Albuerne Melgar, International Tender Department, Avenida Quitapesares, 11, Parque Empresarial Villapark, 28670 Villaviciosa de Odón, Mail: malbuernem@assignia.com, Tlf. 91.567.28.70</t>
  </si>
  <si>
    <t>ASSIGNIA solicitó de AIRIA-GHESA una asistencia técnica para la preparación de un Proyecto de Licitación avanzado para la ampliación de las instalaciones del Centro de Experimentación de "El Arenosillo", con el doble objetivo de:
• Permitir valorar los trabajos comprendidos en el proyecto
• Llegar a un nivel de avance suficiente para que el Proyecto Constructivo pudiera ser ejecutado en el plazo de un mes desde la fecha de adjudicación del contrato</t>
  </si>
  <si>
    <t>Los trabajos realizados por la UTE fueron:
• Trabajos previos y tratamiento del terreno
   - Memorias
   - Planos
   - Especificaciones Técnicas
   - Presupuesto
• Campo de Vuelo
   - Memorias
   - Planos
   - Especificaciones Técnicas
   - Presupuesto
• Edificaciones Aeroportuarias
   - Memorias
   - Planos
   - Especificaciones Técnicas
   - Presupuesto
• Urbanización y Accesos
   - Memorias
   - Planos
   - Especificaciones Técnicas
   - Presupuesto</t>
  </si>
  <si>
    <t>VISADOS MAD URBAQ II</t>
  </si>
  <si>
    <t>Visado de proyecto de Local de aproximadamente 160 m2 en T2, Dique B del Aeropuerto de Málaga - Costa del Sol</t>
  </si>
  <si>
    <t>2.729,45 $</t>
  </si>
  <si>
    <t>El alcance de la oferta fue la firma de un ingeniero aeronáutico colegiado y el Visado a través del Colegio Oficial de Ingenieros Aeronáuticos, del Proyecto Básico y de Ejecución, Proyecto de Actividad y Certificado Final de Obra de los siguientes locales comerciales:
• Local MAD-T4S, Monomarca Bulgari, en Terminal 4 Satélite
• Local MAD-T4S, Monomarca Michael Kors
• Local MAD-T4S, Multimarca Bisuteria</t>
  </si>
  <si>
    <t>Los servicios realizados por AIRIA fueron:
• Local MAD-T4S, Monomarca Bulgari
   - Proyecto Básico y Proyecto de Ejecución
   - Proyecto de Actividad
   - Certificado Final de Obra
• Local MAD-T4S, Monomarca Michael Kors
   - Proyecto Básico y Proyecto de Ejecución
   - Proyecto de Actividad
   - Certificado Final de Obra
• Local MAD-T4S, Multimarca Bisutería
   - Proyecto Básico y Proyecto de Ejecución
   - Proyecto de Actividad
   - Certificado Final de Obra</t>
  </si>
  <si>
    <t>739,45 $</t>
  </si>
  <si>
    <t>El alcance de la oferta fue la firma de un ingeniero aeronáutico colegiado y el Visado a través del Colegio Oficial de Ingenieros Aeronáuticos, del Proyecto Básico y de Ejecución, Proyecto de Actividad y Certificado Final de Obra de los siguientes locales comerciales:
• Local POP UP, en Terminal 4 Satélite</t>
  </si>
  <si>
    <t>Los servicios realizados por AIRIA fueron:
• Local MAD-T4S, POP UP
   - Proyecto Básico y Proyecto de Ejecución
   - Proyecto de Actividad
   - Certificado Final de Obra</t>
  </si>
  <si>
    <t>1.087,43 $</t>
  </si>
  <si>
    <t>El alcance de la oferta fue la firma de un ingeniero aeronáutico colegiado y el Visado a través del Colegio Oficial de Ingenieros Aeronáuticos, del Proyecto Básico y de Ejecución, Proyecto de Actividad y Certificado Final de Obra de los siguientes locales comerciales:
• Local en T2, Dique B del Aeropuerto de Málaga - Costa del Sol</t>
  </si>
  <si>
    <t>Los servicios realizados por AIRIA fueron:
• Local AGP-T2 Dique B
   - Proyecto Básico y Proyecto de Ejecución
   - Proyecto de Actividad
   - Certificado Final de Obra</t>
  </si>
  <si>
    <t>Visado de proyecto de Local "Sunglasses Boutique Collection" de aproximadamente 220 m2 en T1 del Aeropuerto Adolfo Suárez Madrid-Barajas</t>
  </si>
  <si>
    <t>1.174,42 $</t>
  </si>
  <si>
    <t>El alcance de la oferta fue la firma de un ingeniero aeronáutico colegiado y el Visado a través del Colegio Oficial de Ingenieros Aeronáuticos, del Proyecto Básico y de Ejecución, Proyecto de Actividad y Certificado Final de Obra de los siguientes locales comerciales:
• Local "Sunglasses Boutique Collection" en T1 del Aeropuerto Adolfo Suárez Madrid-Barajas</t>
  </si>
  <si>
    <t>Los servicios realizados por AIRIA fueron:
• Local MAD-T1
   - Proyecto Básico y Proyecto de Ejecución
   - Proyecto de Actividad
   - Certificado Final de Obra</t>
  </si>
  <si>
    <t>Visado Boutique T4S</t>
  </si>
  <si>
    <t>Servicios de Visado de Tienda Boutique Multimarcas Lujo</t>
  </si>
  <si>
    <t>1.560,46 $</t>
  </si>
  <si>
    <t>EDAU ARQUITECTOS, S.L.</t>
  </si>
  <si>
    <t>Javier González-Adalid García Zozaya, Callejón Chitina 4, Algete, 28120 Madrid, Mail: estudio@edau-arquitectos.com, Tlf. 91.622.06.72</t>
  </si>
  <si>
    <t>El alcance de la oferta fue la firma de un ingeniero aeronáutico colegiado y el Visado a través del Colegio Oficial de Ingenieros Aeronáuticos, del Proyecto Básico y de Ejecución, Proyecto de Actividad y Certificado Final de Obra de los siguientes locales comerciales:
• Tienda Boutique Multimarcas Lujo, en la Terminal 4 Satélite del Aeropuerto de Madrid-Barajas</t>
  </si>
  <si>
    <t>Los servicios realizados por AIRIA fueron:
• Local MAD-T4 Satélite
   - Proyecto Básico y Proyecto de Ejecución
   - Proyecto de Actividad
   - Certificado Final de Obra</t>
  </si>
  <si>
    <t>Tasación Cantinas MAD</t>
  </si>
  <si>
    <t>Estudio de tasación de activos existentes en los comedores de empleados del Aeropuerto Adolfo Suárez Madrid Barajas</t>
  </si>
  <si>
    <t>Beatriz Arribas, Departamento Comercial, Tlf. 647.334.350</t>
  </si>
  <si>
    <t>El servicio consistió en la realización del estudio de tasación de los elementos que conformaban el inmovilizado de comedores de empleados y superficies de apoyo en el Aeropuerto Adolfo Suárez Madrid Barajas.</t>
  </si>
  <si>
    <t>Los trabajos realizados en el estudio fueron:
• Relación detallada de los elementos/objetos que se encontraban en las instalaciones enumeradas
• Descripción, clasificación y estado de los elementos/objetos inventariados
• Valoración económica de los elementos/objetos incluidos en el inventario</t>
  </si>
  <si>
    <t>Visado MERO</t>
  </si>
  <si>
    <t>619,83 $</t>
  </si>
  <si>
    <t>MEROestudio arquitectos, S.L.P</t>
  </si>
  <si>
    <t>Paula Montoya, MEROestudio arquitectos. s.l.p., Mail: meroestudio@gmail.com</t>
  </si>
  <si>
    <t>Los servicios realizados por AIRIA fueron:
• Local MAD-T3
   - Proyecto Básico y Proyecto de Ejecución</t>
  </si>
  <si>
    <t>500,22 $</t>
  </si>
  <si>
    <t>El alcance de la oferta fue la firma de un ingeniero aeronáutico colegiado y el Visado a través del Colegio Oficial de Ingenieros Aeronáuticos, del Proyecto Básico y de Ejecución, de los siguientes locales comerciales:
• Local comercial Express Shop Dique Norte, en Terminal T3</t>
  </si>
  <si>
    <t>El alcance de la oferta fue la firma de un ingeniero aeronáutico colegiado y el Visado a través del Colegio Oficial de Ingenieros Aeronáuticos, del Certificado Final de Obra de los siguientes locales comerciales:
• Local comercial Express Shop Dique Norte, en Terminal T3</t>
  </si>
  <si>
    <t>Los servicios realizados por AIRIA fueron:
• Local MAD-T3
   - Certificado Final de Obras</t>
  </si>
  <si>
    <t>Visado EDAU MAD_T2</t>
  </si>
  <si>
    <t>Servicios de Visado de Tienda Express Shop</t>
  </si>
  <si>
    <t>1.663,77 $</t>
  </si>
  <si>
    <t>El alcance de la oferta fue la firma de un ingeniero aeronáutico colegiado y el Visado a través del Colegio Oficial de Ingenieros Aeronáuticos, del Certificado Final de Obra de los siguientes locales comerciales:
• Tienda Express Shop en la Terminal T2 del Aeropuerto Adolfo Suárez Madrid-Barajas</t>
  </si>
  <si>
    <t>Los servicios realizados por AIRIA fueron:
• Local MAD-T2
   - Proyecto Básico y de Ejecución
   - Proyecto de Actividad
   - Certificado Final de Obras</t>
  </si>
  <si>
    <t>Asesoría Jurídica MAD</t>
  </si>
  <si>
    <t>Servicio de Normalización de Procesos de Asesoría Jurídica</t>
  </si>
  <si>
    <t>97.236,84 $</t>
  </si>
  <si>
    <t>291.710,53 $</t>
  </si>
  <si>
    <t>El objeto del expediente fue la elaboración y gestión de los procesos de siniestros, de retirada de vehículos abandonados en los aparcamientos y aeronaves declaradas en abandono, de penalizaciones contractuales, de reclamaciones de Aena a terceros y de terceros a ésta de carácter contractual y extracontractual, todo ello dentro del ámbito de actuación del Aeropuerto Adolfo Suárez Madrid-Barajas.</t>
  </si>
  <si>
    <t>Los servicios realizados por AIRIA relativos al expediente fueron:
• Organización del servicio
   - Redacción de programa de prestación del
   servicio, incluyendo los medios humanos
   previstos
• Plan de Calidad
   - Revisión y actualización permanente de la
   prestación del servicio para adaptarla a las
   demandas surgidas en cada momento
   conforme al objeto del contrato
   - Revisión y mejora continuas de los
   procesos de gestión de gestión, para
   detectar puntos débiles y proponer
   acciones de mejora
   - Evaluación de la idoneidad en el ajuste de
   la asignación de los medios materiales y
   humanos a la prestación del servicio para
   responder al nivel de calidad exigido
   - Adecuación a las modificaciones
   legislativas aprobadas
• Informes trimestrales
   - Análisis pormenorizado de la evolución de
   los diferentes parámetros de calidad de
   prestación del servicio, de la situación de
   los expedientes en cada área, del resultado
   del mismo en cuanto a recuperación de
   costes económicos o resultado de los
   expedientes tramitados</t>
  </si>
  <si>
    <t>No, aparece Acta de Recepción y Liquidación Única</t>
  </si>
  <si>
    <t>Se produjeron dos prórrogas, una firmada en diciembre de 2015 y la segunda aproximadamente en diciembre de 2016.</t>
  </si>
  <si>
    <t>TESA MAD</t>
  </si>
  <si>
    <t>Servicio de TESA para el expediente MAD 149/14 del Aeropuerto Adolfo Suárez Madrid-Barajas</t>
  </si>
  <si>
    <t>2.087,86 $</t>
  </si>
  <si>
    <t>ETRALUX, S.A.</t>
  </si>
  <si>
    <t>Juan Carlos Villa, Ingeniero Aeronáutico, Avenida Hermanos Granda, 21, 28022 Madrid, Mail: jcvilla.etralux@grupoetra.com, Tlf. 91.312.03.80</t>
  </si>
  <si>
    <t>El alcance del contrato comprendió las actividades asociadas al cumplimiento de las normativas en materia de Seguridad Aeroportuaria en la ejecución de los trabajos ejecutados en el expediente MAD 149/14 "Aumento de Aislamiento de Circuitos de Balizamiento 2014".</t>
  </si>
  <si>
    <t>Los servicios realizados por AIRIA fueron los relativos al Técnico Encargado de Seguridad Aeroportuaria (TESA), destacando:
• Análisis aeronáutico del equipo de actuación considerando las posibles afecciones a la operatividad del aeropuerto
• Análisis de las circunstancias particulares de cada tajo de obra que los departamentos de producción establecieron para desarrollar las obras, preparación del procedimiento de actuación e integración en el Plan de Vigilancia de Seguridad Operacional
• Adecuación del Plan de Vigilancia de Seguridad Operacional a las posibles alteraciones de la operatividad del aeropuerto por motivos funcionales
• Supervisión del cumplimiento del Plan de Vigilancia de Seguridad Operacional
• Gestión de incidencias
   - Supervisión de los trabajos y detección de
   las posibles incidencias producidas durante
   la ejecución de los trabajos
   - Cumplimentación del parte de incidencias
   - Proposición a la Dirección de Obra de
   medidas correctoras
• Comunicación y coordinación con la Dirección de Obra que coordinó las circunstancias especiales presentadas en el curso de los trabajos, en relación con la operatividad del aeropuerto
• Asistencia a las reuniones de las especialidades convocadas por la Dirección de Obra
• Supervisión del cumplimiento de las medidas de Seguridad Operacional e identificación de posibles riesgos, analizando los peligros asociados
• Supervisión visual al inicio de cada jornada, de la zona donde pretendía actuarse, comprobando que no existiera servicios a afectar
• Supervisión de la zona al finalizar la jornada, dejando constancia en el Parte de Finalización de los trabajos de que la zona era apta para su apertura al tráfico
• Cumplimentación del Parte de finalización de trabajos que certificaba que la zona de trabajos era apta para su apertura
• Determinar la suspensión de trabajos en caso de condiciones meteorológicas adversas
• Dejar constancia documental en caso de suspensión de trabajos, facilitando la documentación a la Dirección del Expediente</t>
  </si>
  <si>
    <t>ATCV Salas VIP MAD</t>
  </si>
  <si>
    <t>A.T.C.V. Remodelación y Adecuación de 5 Salas VIP</t>
  </si>
  <si>
    <t>151.214,43 $</t>
  </si>
  <si>
    <t>Francisco Javier Martínez Aira, Director de Obra, Dirección de Construcción Instalaciones y Energía, Calle Peonías 12, 3ª Planta, 28042 Madrid, Mail: fjmartinez@aena.es, Tlf. 91.321.11.78</t>
  </si>
  <si>
    <t>El objeto del contrato fue la prestación de trabajos de ingeniería necesarios para la ejecución de las obras de remodelación a adecuación de 5 salas VIP en diferentes edificios del Aeropuerto de Madrid-Barajas.</t>
  </si>
  <si>
    <t>Los servicios realizados por la UTE fueron:
• Supervisión de la ejecución
   - Controles antes
   - Controles durante la ejecución de obra
   - Controles después de la ejecución
• Servicios de supervisión y control. Antes del inicio de la ejecución de obra
   - Análisis previo del proyecto objeto de
   supervisión, que incluyó el estudio de
   aquellas observaciones detectadas en la
   fase de evaluación de ofertas
   - Revisión del proyecto constructivo objeto
   del contrato, centrándose en bases de
   cálculo de elementos estructurales, cálculo
   de estructuras y cálculo de instalaciones,
   análisis de la estabilidad de desmontes y
   revisión de las hipótesis y cálculo de las
   cimentaciones, identificación en el proyecto
   de posibles errores u omisiones y propuesta
   de soluciones, coherencia entre planos,
   anejos y Pliego de Prescripciones Técnicas
   del proyecto, nivel de definición de las
   especificaciones sobre materiales, equipos,
   unidades de obra y partidas alzadas
   - Análisis exhaustivo del programa de
   trabajos con el resto de unidades del
   aeropuerto (operaciones, mantenimiento, 
   comercial, etc.)
   - Verificación de la disponibilidad de todos
   los terrenos precisos para el inicio de los
   trabajos
   - Análisis de afecciones a viales,
   instalaciones y otros servicios existentes
   - Análisis del proyecto desde el punto de
   vista medioambiental
• Servicios de supervisión y control. Trabajos durante la ejecución de las obras
   - Control geométrico de la obra, consistente
   en garantizar que los materiales, su
   instalación o puesta en obra y las unidades
   terminadas se ajustaban a las
   prescripciones técnicas del proyecto o a
   las modificaciones autorizadas, incluyendo
   los replanteos y comprobaciones
   necesarios
   - Control cualitativo de la obra, consistente
   en la medición de las diversas unidades de
   obra
   - Control cualitativo de la obra, cuyo objeto
   fue garantizar que los materiales, instalación
   , puesta en obra y unidades de obra
   terminadas, se ajustaran a las
   prescripciones técnicas del proyecto o
   modificaciones autorizadas. La realización
   del control comprendió la organización y
   ejecución de la toma de muestras de
   materiales y unidades de obra; la
   identificación, custodia y envío al
   laboratorio de muestras y la ejecución de
   ensayos, pruebas de funcionamiento o
   ensayos in situ
   - Vigilancia sistemática de los procesos de
   fabricación y puesta en obra de las
   distintas unidades para asegurar que la
   fabricación se ajustaba a las condiciones
   contractuales
• Servicios de supervisión y control. Trabajos finales
   - Valoración cualitativa y cuantitativa de la
   totalidad de las unidades ejecutadas de
   acuerdo al proyecto aprobado y aceptado
   en la recepción de obra
   - Redacción de informe final de todo el
   control y vigilancia realizado, del
   seguimiento del plan de obra y de los
   informes de resultados e incidencias
   - Elaboración de un informe para la
   conservación y mantenimiento de la obra
   ejecutada resumiendo las características de
   la obra, manuales de mantenimiento y
   operación, fichas técnicas, suministradores, 
   y toda la información de interés
   - Control de todas las pruebas finales de
   las instalaciones, comprobando los
   parámetros de diseño e incluyendo los
   protocolos de cada instalador
   - Gestión y obtención de los Certificados
   Oficiales relativos a la aprobación de todas
   las instalaciones por parte de los
   organismos nacionales, autonómicos y
   municipales
   - Acordar con el Director del Expediente el
   índice para la DFO y realización de un
   seguimiento y control de las entregas de
   dicha documentación
   - Redacción del informe final relativo a la
   coordinación de seguridad y salud
   - Redacción del informe final relativo al
   PVSO según la Instrucción Operativa EXA
   50
   - Realización de un informe de
   mantenimiento y conservación de la obra
   - Elaboración de un informe presupuestario
   sobre la medición final de las obras
   - Elaboración del acta de cumplimiento de
   las condiciones medioambientales de las
   obras
• Servicios para la familiarización y traslado de las nuevas instalaciones
   - Facilitación de la documentación
   necesaria para la elaboración por parte de
   Aena de la documentación para la
   impartición de la familiarización de los
   trabajadores del aeropuerto con las nuevas
   instalaciones
   - Aporte de la documentación necesaria
   para la elaboración de la documentación
   para la organización del traslado
   - Asesoramiento en la definición del plan
   logístico de traslado de medios humanos
   y materiales a las nuevas instalaciones
• Pruebas de Explotación
   - Revisión de las guías de Pruebas de
   Explotación
   - Prestación de servicio en las reuniones de
   preparación previa, últimos preparativos y
   análisis y conclusiones de cada sesión de
   pruebas de explotación
   - Asesoramiento en la preparación y
   desarrollo de las mismas dentro de lo
   concerniente a las obras del pliego
   - Aportación de soluciones y plazos para
   la resolución de las posibles anomalías o
   disfunciones detectadas en el transcurso de
   las pruebas de explotación
   - Realización del seguimiento de la
   resolución de las anomalías de acuerdo a
   las soluciones y plazos propuestos
   - Asistencia a las pruebas de explotación
   - Asesoramiento en la comprobación de la
   resolución de las anomalías detectadas
• Puesta en Explotación y periodo posterior a la Puesta en Explotación
   - Elaboración de un plan de seguimiento de
   la Puesta en Explotación y periodo posterior
   y la prestación de servicio de seguimiento
   - Actualización del plan de seguimiento
   en función de la marcha de las primeras
   horas de explotación de las instalaciones y
   del periodo post-Puesta en Explotación
   - Asistencia a todas las reuniones
   convocadas para la preparación y
   evaluación de la Puesta en Explotación y
   periodo post-Puesta en Explotación</t>
  </si>
  <si>
    <t xml:space="preserve">No, pero hay un Acta de Recepción Única. </t>
  </si>
  <si>
    <t>64.986,77 $</t>
  </si>
  <si>
    <t>Mystery Shopper MAD</t>
  </si>
  <si>
    <t>La UTE estaba formado por: Instituto Técnico de Materiales y Construcciones, S.A. y AIRIA Ingeniería y Servicios, S.A.</t>
  </si>
  <si>
    <t>Evaluación del Servicio de Atención al Público en el Aeropuerto Adolfo Suárez Madrid-Barajas - Mystery Shopper</t>
  </si>
  <si>
    <t>12.929,53 $</t>
  </si>
  <si>
    <t>En este expediente, se requirió el análisis y evaluación del servicio de atención e información al público del Aeropuerto a fin de detectar posibles áreas de mejora que permitieran tomar medidas para la mejora continua del servicio. Para ello, se utilizaron dos métodos complementarios: el mystery shopper y las encuestas de satisfacción a usuarios y pasajeros.
Los objetivos del análisis fueron:
   - Comprobar en qué grado el personal de
   información cumplía el protocolo de
   actuación establecido para el Servicio de
   Chaquetas Verdes, tanto en aspecto como
   atención e información
   - Comprobar en qué medida los protocolos
   se adaptaban a las expectativas de los
   usuarios del Aeropuerto
   - Conocer las fortalezas y debilidades del
   servicio
   - Ayudar a detectar y enfocar medidas de
   actuación para la mejora del servicio</t>
  </si>
  <si>
    <t>AIRIA desarrolló la siguiente documentación y entregables:
• Elaboración del cuestionario del mystery shopper y de la encuesta de satisfacción
• Pilotaje y pretest de los cuestionarios
• Supervisión y depuración
• Tabulación de resultados y análisis estadísticos
• Fichero de datos definitivos
• Informes de conclusiones finales, con diagnóstico y recomendaciones pertinentes
• Informes mediante las técnicas más adecuadas en tratamiento informático que permitieran construir informes ejecutivos o detallar los aspectos más significativos, reiterativos o de incumplimientos de las instrucciones dadas
• Presentación de resultados mediante técnica adecuada de tratamiento informático que permitiera presentar la información de una forma gráfica, visualizando comparativas y ratios
• Sugerencias de actuación, tanto para la realización de controles futuros como para la valoración del servicio
• Presentación de informe de mystery shopper y otro de encuestas de satisfacción por oleada</t>
  </si>
  <si>
    <t>Seguridad BCN</t>
  </si>
  <si>
    <t>Servicio Técnico de Control, Calidad y Mejora de Niveles de Seguridad en el Aeropuerto de Barcelona-El Prat</t>
  </si>
  <si>
    <t>Agosto 2015</t>
  </si>
  <si>
    <t>133.178,56 $</t>
  </si>
  <si>
    <t>427.592,18 $</t>
  </si>
  <si>
    <t>Francisco Folch Corral, Director del Expediente</t>
  </si>
  <si>
    <t>El objeto principal del expediente era poner de manifiesto de un modo continuo los aspectos de seguridad que no cumplían con la normativa vigente en cada momento (Programa Nacional de Seguridad de la Aviación Civil, procedimientos locales, instrucciones, órdenes de puesto de vigilancia privada y resto de normativa de aplicación) o que, cumpliendo con ella, eran susceptibles de mejora, aportando las posibles medidas correctoras y realizando el seguimiento y evolución de las medidas correctoras ejecutadas.</t>
  </si>
  <si>
    <t xml:space="preserve">Los servicios prestados por la UTE estuvieron relacionados con:
• Seguimiento de la calidad y mejora y otros requisitos contemplados en los expedientes de seguridad del Aeropuerto de Barcelona-El Prat
   - Adecuación del servicio de vigilancia
   privada al Pliego contratado y a los
   procedimientos de seguridad establecidos
   - Cálculo periódico de todos los indicadores
   de calidad del servicio de vigilancia privada 
   aportando los medios automáticos y
   manuales de uso que permitieran su
   cálculo a partir de los ficheros
   - Aplicación del Programa Nacional de
   Seguridad
   - Seguimiento de la aplicación de las
   medidas correctoras
   - Niveles de Seguridad en los aeropuertos
• Análisis de la aplicación y cumplimiento del Programa Nacional de Seguridad de la Aviación Civil y resto de normativa de aplicación
   - Seguridad en los aeropuertos y aeronaves
   - Pasajeros y equipajes de mano
   - Equipajes de bodega
   - Carga, mensajería y paquetes Express
   - Correo y material de las compañías aéreas
   - Suministros y productos de restauración
   de las compañías aéreas
   - Productos y material de limpieza de las
   compañías aéreas
   - Aviación general
   - Métodos para hacer frente a los actos de
   interferencia ilícita
   - Instalaciones de navegación aérea
• Análisis, comprobación y mejora de sistemas de seguridad en el aeropuerto
   - Examen de aspectos de seguridad
   relativos al cumplimiento del PNSAC
   - Equipos de seguridad
   - Sistemas del Aeropuerto
   - Instalaciones aeroportuarias
   - Métodos para hacer frente a los actos de
   interferencia ilícita: análisis de riesgo,
   detección de necesidades y/o propuestas
   de mejora  </t>
  </si>
  <si>
    <t>Se produjeron varias prórrogas: la primera entró en vigor en agosto de 2016 (122.471,00 €), la segunda entró en vigor en agosto de 2017 (122.471,00 €) y hubo una tercera prórroga forzosa que entró en vigor en agosto de 2018.</t>
  </si>
  <si>
    <t>Pliego concesion Asuncion</t>
  </si>
  <si>
    <t>Operación de Aeropuertos en Régimen de APP, en Asunción, Paraguay (FAM/15/016)</t>
  </si>
  <si>
    <t>Organización de Aviación Civil Internacional (OACI)</t>
  </si>
  <si>
    <t>Araba Obeng, Recuitment Officer, Field Recruitment Unit, Technical Cooperation Bureau, Mail: Alawson@icao.int, Tlf. +1 (514) 954-8219 (Ext. 5234)</t>
  </si>
  <si>
    <t>El objeto del contrato con OACI fue la redacción de toda la documentación necesaria para la licitación del proyecto de APP de Modernización del AISP, incluyendo las siguientes áreas:
• Definición de los criterios técnicos, económico-financieros y legales bajo los que se desarrolló la licitación
• Redacción de las Bases de Licitación del Proyecto de Modernización del AISP bajo la modalidad de Asociación Público-Privada
• Redacción del Borrador de Contrato que formaría parte de la documentación a entregar a los licitadores
• Preparación de documentación de promoción del proyecto, y apoyo al gobierno en las actividades de promoción
• Preparación de un "Data Room" para el Proyecto
En una segunda fase de implementación, se llevaron a cabo aquellas tareas relacionadas con la gestión del proceso de licitación, la preparación y ejecución de una conferencia de posibles candidatos, un proceso de Q&amp;A con los licitadores, posibles modificaciones propuestas por los licitadores en el Borrador del Contrato y una evaluación técnica y económica de las propuestas de los licitadores.</t>
  </si>
  <si>
    <t>El Experto fue responsable de:
• Investigar los modos y procedimientos operativos existentes en el AISP y determinar cómo debían cambiar bajo el régimen de APP
• Definir los requisitos operativos exigibles al futuro operador del AISP, tanto en lado tierra como lado aire
• Establecer los requisitos de gestión de slots y asignación de puestos de estacionamiento de aeronaves por parte del futuro operador del AISP, definiendo la interacción del mismo con las instancias ATC implicadas
• Definición de los requisitos y lineamientos a incluir en los pliegos y borrador del contrato en relación con la migración de operaciones desde la terminal de pasajeros existente a la nueva terminal y su puesta en marcha
• Definición de los requisitos y lineamientos a incluir en los pliegos en relación con la interacción del Operador con los Organismos Estatales
• Definición de los KPI relativos a la operativa del aeropuerto a incluir en las bases de licitación y en el borrador de contrato de APP
• Colaborar con el Coordinador Técnico del Proyecto en la preparación de presentaciones y otros materiales de promoción del proyecto
• Compilar la documentación necesaria para realizar los trabajos
• Preparar las visitas de campo de manera apropiada, incluyendo cuestionarios de preguntas, listados de personas a entrevistar, y elaborar un informe de visita. Tomar conocimiento de la situación y problemática actual del aeropuerto
• Preparar un informe de visita según las directrices del Coordinador Internacional de OACI y el Coordinador Técnico de los trabajos
• Preparar y remitir al Coordinador Internacional OACI un borrador del informe final del proyecto y de las actividades desarrolladas en las especialidades involucradas, incluyendo las conclusiones y recomendaciones derivadas</t>
  </si>
  <si>
    <t>ATRP-CV filtros MAD</t>
  </si>
  <si>
    <t>21.242,93 $</t>
  </si>
  <si>
    <t>Mejoras Hub T123: ATRP Ampliación Filtros T1 y ATCV Ampliación Control de Pasaportes T1 Puertas A y B</t>
  </si>
  <si>
    <t>María Dolores Cobas Cuenca, Directora del Expediente, Mail: mdccuenca@aena.es</t>
  </si>
  <si>
    <t>El objeto del contrato fue el de prestar los trabajos de ingeniería necesarios para la ejecución de las obras "Ampliación Filtro T1 y ampliación control de pasaportes T1 puertas A y B", en el Aeropuerto Adolfo Suárez Madrid-Barajas. Los trabajos incluidos en el expediente se dividieron en dos partes diferenciadas (Lotes 1 y 2).</t>
  </si>
  <si>
    <t>Los servicios prestados en la fase del Lote 1 fueron:
• Trabajos previos
   - Recopilación de antecedentes
   - Toma de datos básicos y servicios
   afectados
   - Estudios previos
• Redacción del Proyecto Básico (Memoria, Anexos, Planos y Presupuesto)
   - Definición geométrica de las obras
   - Reposición de servidumbres y servicios
   afectados
   - Metodología para la determinación de
   coordenadas de puntos aeronáuticos
   versión 3.0
   - Aspectos objeto de aprobación por los
   Organismos competentes, tales como
   estudios hidrológicos, trazados, zonas
   afectadas, expropiación de terrenos, etc.
• Redacción del Proyecto Constructivo (Memoria, Anejos, Planos, Pliego de Prescripciones Técnicas)
   - Información sobre los servicios afectados
   por la obra, incluyendo su reposición
   - Cumplimiento de la Normativa Técnica de
   aplicación
   - Información sobre las medidas estudiadas
   para mantener la operatividad del
   aeropuerto
   - Recoger las observaciones de los
   Organismos afectados recibidas hasta la
   recepción de los trabajos, tanto oficiales
   como internos de Aena
   - Desarrollo de todas las especificaciones
   expresadas en el anexo del Pliego
   "Definición de la obra a ejecutar"
   - Consideración de la Normativa y Plan
   Medioambiental específico del aeropuerto
• Replanteo previo sobre el terreno de la obra proyectada
• Plan de Aseguramiento de la Calidad específico del Expediente
   - Fijar niveles de calidad
   - Establecer normas y métodos de
   aplicación
   - Poner en práctica y comprobar la
   aplicación y corrección de las normas
   establecidas
   - Verificar periódicamente el cumplimiento
   de los niveles de calidad prefijados
• Designación del Coordinador de Seguridad y Salud durante la ejecución del Proyecto
• Resumen ejecutivo del proyecto</t>
  </si>
  <si>
    <t>Existe Certificado de Buena Ejecución del Lote 1 del Expediente.</t>
  </si>
  <si>
    <t>Impuestos MAD</t>
  </si>
  <si>
    <t>Servicio de Puesta en Marcha del Proceso de Descentralización de Impuestos Locales del Aeropuerto Adolfo Suárez Madrid-Barajas</t>
  </si>
  <si>
    <t>156.937,80 $</t>
  </si>
  <si>
    <t>313.875,60 $</t>
  </si>
  <si>
    <t>César Marín Fernández, Jefe de Departamento de Ingeniería y Oficina Técnica, División de Ingeniería y Mantenimiento, Avenida de la Hispanidad s/n, Terminal 1 - Edificio de la Unión T1-2ª Planta, 28042 Madrid, Mail: cmfernandez@aena.es, Tlf. 91.393.62.61</t>
  </si>
  <si>
    <t>El expediente tuvo como objetivo la realización de las tareas necesarias para gestionar de manera descentralizada todos los aspectos relativos a los impuestos locales soportados por el Aeropuerto, tanto desde el punto de vista técnico como económico-administrativo.</t>
  </si>
  <si>
    <t>Las tareas realizadas por AIRIA fueron:
• Adaptación, revisión y actualización de la información gráfica en formato DIACAE de los edificios e instalaciones del Aeropuerto, incluyendo todas las modificaciones necesarias para la puesta al día de dicha información
• Recopilación y toma de datos in situ para la auditoría de las distintas superficies y locales, como ubicación, arquitectura y distribución, superficie útil, suministros de agua, electricidad, red informática, telefonía, etc., dispositivos de medida de los suministros, así como información del ocupante y/o concesionario
• Adaptación y actualización de la información gráfica y alfanumérica en la aplicación SIGRA, incluyendo todas las modificaciones necesarias para la puesta al día de la información
• Asesoramiento técnico y supervisión de todo el proceso de carga de datos en SIGRA y otras bases de datos corporativos, realizando informes, manuales o cualquier otra documentación requerida
• Comprobación de las valoraciones catastrales de los edificios Terminales del aeropuerto, así como del resto de edificaciones e instalaciones del aeropuerto
• Revisión de las liquidaciones del IBI
• Comprobación de las valoraciones del IAE y realización de la tramitación de las declaraciones de alta y baja correspondientes
• Revisión de las liquidaciones del IAE
• Análisis de las notificaciones recibidas durante la ejecución de la asistencia técnica y referida a los conceptos anteriores
• Valoración económica de la rentabilidad del proyecto
• Relación con la Gerencia Territorial del Catastro, Ayuntamientos y organismos públicos en las gestiones relativas a tributos locales
• Introducción, registro y comprobación de datos en las aplicaciones corporativas manejadas en el departamento (SAP, SIGA, etc.)</t>
  </si>
  <si>
    <t>Hubo una prórroga de 144.320,00 € que entró en vigor el 01 de octubre de 2016.</t>
  </si>
  <si>
    <t>ATRP Repavimentacion TFS</t>
  </si>
  <si>
    <t>ATRP Repavimentación de la Pista. Aeropuerto de Tenerife Sur</t>
  </si>
  <si>
    <t>54.271,71 $</t>
  </si>
  <si>
    <t>Manuel Martín Mato, División de Ingeniería y Mantenimiento, Mail: mmamato@aena.es, Tlf. 922.759.194</t>
  </si>
  <si>
    <t>El objeto del contrato fue el de prestar los trabajos de ingeniería necesarios para la ejecución de las obras Repavimentación de la Pista, en el Aeropuerto de Tenerife Sur. El Lote 1 (Asistencia Técnica para la Redacción del Proyecto), incluyó la redacción de los documentos previos necesarios y del proyecto constructivo que definiera las citadas obras.</t>
  </si>
  <si>
    <t>Los servicios prestados en la fase del Lote 1 fueron:
• Trabajos previos
   - Recopilación de antecedentes
   - Toma de datos básicos y servicios
   afectados
   - Estudios previos
• Redacción del Proyecto Básico (Memoria, Anexos, Planos y Presupuesto)
   - Definición geométrica de las obras
   - Metodología para la determinación de
   coordenadas de puntos aeronáuticos
   versión 3.0
   - Aspectos objeto de aprobación por los
   Organismos competentes, tales como
   estudios hidrológicos, trazados, zonas
   afectadas, expropiación de terrenos, etc.
   - Presupuestos aproximados de las obras,
   con indicación de la cantidad de cada uno
   de los municipios afectados
• Redacción del Proyecto Constructivo (Memoria, Anejos, Planos, Pliego de Prescripciones Técnicas)
   - Información sobre los servicios afectados
   por la obra, incluyendo su reposición
   - Cumplimiento de la Normativa Técnica de
   aplicación
   - Información sobre las medidas estudiadas
   para mantener la operatividad del
   aeropuerto
   - Recoger las observaciones de los
   Organismos afectados recibidas hasta la
   recepción de los trabajos, tanto oficiales
   como internos de Aena
   - Desarrollo de todas las especificaciones
   expresadas en el anexo del Pliego
   "Definición de la obra a ejecutar"
   - Consideración de la Normativa y Plan
   Medioambiental específico del aeropuerto
• Replanteo previo sobre el terreno de la obra proyectada
• Plan de Aseguramiento de la Calidad específico del Expediente
   - Fijar niveles de calidad
   - Establecer normas y métodos de
   aplicación
   - Poner en práctica y comprobar la
   aplicación y corrección de las normas
   establecidas
   - Verificar periódicamente el cumplimiento
   de los niveles de calidad prefijados
• Designación del Coordinador de Seguridad y Salud durante la ejecución del Proyecto</t>
  </si>
  <si>
    <t>ATRP ILU RIAD</t>
  </si>
  <si>
    <t>Riad</t>
  </si>
  <si>
    <t>18.388,05 $</t>
  </si>
  <si>
    <t>Louis Berger Spain, S.A.</t>
  </si>
  <si>
    <t>Consultoría de seguridad aeroportuaria y diseño de sistema de iluminación exterior</t>
  </si>
  <si>
    <t>Noelia Acebo Madrera, International Design Center, Mail: Nacebo@louisberger.com</t>
  </si>
  <si>
    <t>El objeto del contrato estuvo relacionado con el diseño y construcción de la expansión y desarrollo de las terminales T3 y T4 del Aeropuerto Internacional King Khaled en Riad. En concreto, los servicios profesionales incluyeron el diseño del sistema de iluminación exterior, consultoría de seguridad aeroportuaria y el diseño de un sistema de alimentación para aeronaves.</t>
  </si>
  <si>
    <t xml:space="preserve">Las tareas realizadas por AIRIA fueron:
• Diseño de sistema de iluminación externo
   - Sistema de alumbrado en plataforma
   - Iluminación de obstáculos
   - Sistema de iluminación en vías de acceso
• Consultoría en seguridad aeroportuaria
   - Análisis de seguridad
   - Requisitos de infraestructuras de
   seguridad
   - Matriz de control de amenazas
   - Propuestas
   - Catálogo de requisitos para el nuevo
   sistema de seguridad
   - Estrategia de seguridad
• Diseño de sistema de alimentación de aeronaves
   - Planificación y distribución
   - Parámetros de diseño para montajes en
   tierra de 400 Hz
   - Requisitos funcionales de la unidad
   conversora
   - Interfaces
   - Cableado y control
   - Requisitos funcionales del montaje en
   tierra
   - Sistema pop-up
   - Cubierta de foso
   - Cubierta pop-up
   - Acceso para mantenimiento
   - Suministro de alimentación eléctrica
   - Drenaje del pozo
   - Diseño del sistema eléctrico
   - Diagramas de línea y cálculos
   - Plan de seguridad 
</t>
  </si>
  <si>
    <t>Conserjería La Paloma</t>
  </si>
  <si>
    <t>Servicio de control y apoyo a las instalaciones del IES Virgen de La Paloma</t>
  </si>
  <si>
    <t>25.301,52 $</t>
  </si>
  <si>
    <t>IES Virgen de la Paloma</t>
  </si>
  <si>
    <t>Alfonso Mateos, Secretaría, Mail: secretario@palomafp.org</t>
  </si>
  <si>
    <t>El propósito del contrato fue realizar los servicios de control y apoyo al Instituto Virgen de la Paloma.</t>
  </si>
  <si>
    <t>Las tareas realizadas fueron las típicas relacionadas con un puesto de estas características.</t>
  </si>
  <si>
    <t>Caucho MAH</t>
  </si>
  <si>
    <t>Servicio de eliminación de caucho de la pista principal en el Aeropuerto de Menorca</t>
  </si>
  <si>
    <t>Maó</t>
  </si>
  <si>
    <t>32.449,50 $</t>
  </si>
  <si>
    <t>María del Mar Robles Bada, Directora del Expediente, Carretera San Clemente s/n, 07712 Maó, Mail: mdmrobles@aena.es, Tlf. 971.157.018</t>
  </si>
  <si>
    <t>El objeto del expediente fue la realización de trabajos de pintura con el objetivo de mantener los valores recomendados de OACI y FAA respecto al coeficiente de rozamiento y el valor de textura superficial.</t>
  </si>
  <si>
    <t xml:space="preserve">Las actividades realizadas por AIRIA fueron:
• Limpieza de caucho
• Repintado de señalización horizontal
</t>
  </si>
  <si>
    <t>ATRP Filtros Ibiza</t>
  </si>
  <si>
    <t>Asistencia Técnica para la Redacción del Proyecto: Reubicación de los Filtros de Seguridad. Aeropuerto de Ibiza</t>
  </si>
  <si>
    <t>70.545,37 $</t>
  </si>
  <si>
    <t>35.272,68 $</t>
  </si>
  <si>
    <t>Rafael Chía, Director del Expediente, Calle Peonías 12 - 3ª Planta, 28042 Madrid, Mail: rchia@aena.es, Tlf. 91.321.11.37</t>
  </si>
  <si>
    <t>El objeto del contrato fue la prestación de trabajos de ingeniería necesarios para la ejecución de las obras de reubicación de los filtros de seguridad del Edificio Terminal de pasajeros, en el Aeropuerto de Ibiza. El Lote 1 (ATRP) incluyó la redacción de los documentos previos necesarios y del proyecto constructivo que definiera de forma precisa las citadas obras, sirviendo de base a su licitación.</t>
  </si>
  <si>
    <t>ATRP Seguridad y TIC MAD</t>
  </si>
  <si>
    <t>A.T.R.P. Actuaciones en Dependencias de Seguridad y TIC</t>
  </si>
  <si>
    <t>61.812,95 $</t>
  </si>
  <si>
    <t>José Antonio López de Ochoa Llovet, Director del Expediente, División de Ingeniería y Mantenimiento, Terminal T1 Edificio de Unión, Control "D", 2ª Planta, Mail: alochoa@aena.es, Tlf. 91.393.60.47</t>
  </si>
  <si>
    <t>El objeto del contrato fue la prestación de trabajos de ingeniería necesarios para la ejecución de las obras "ATRP/ATCV Actuaciones en Dependencias de Seguridad y TIC. Aeropuerto Adolfo Suárez Madrid-Barajas".</t>
  </si>
  <si>
    <t>Los servicios prestados en la fase del Lote 1 fueron:
• Trabajos previos
   - Recopilación de antecedentes
   - Toma de datos básicos y servicios
   afectados
   - Estudios previos
• Redacción del Proyecto Básico (Memoria, Anexos, Planos y Presupuesto)
   - Definición geométrica de las obras
   - Reposición de servidumbres y servicios
   afectados
   - Metodología para la determinación de
   coordenadas de puntos aeronáuticos
   versión 3.0 ver anexo nº2 normativa
   - Aspectos objeto de aprobación por los
   Organismos competentes, tales como
   estudios hidrológicos, trazados, zonas
   afectadas, expropiación de terrenos, etc.
• Redacción del Proyecto Constructivo (Memoria, Anejos, Planos, Pliego de Prescripciones Técnicas)
   - Información sobre los servicios afectados
   por la obra, incluyendo su reposición
   - Cumplimiento de la Normativa Técnica de
   aplicación
   - Información sobre las medidas estudiadas
   para mantener la operatividad del
   aeropuerto
   - Recoger las observaciones de los
   Organismos afectados recibidas hasta la
   recepción de los trabajos, tanto oficiales
   como internos de Aena
   - Desarrollo de todas las especificaciones
   expresadas en el anexo del Pliego
   "Definición de la obra a ejecutar"
   - Consideración de la Normativa y Plan
   Medioambiental específico del aeropuerto
• Replanteo previo sobre el terreno de la obra proyectada
• Plan de Aseguramiento de la Calidad específico del Expediente
   - Fijar niveles de calidad
   - Establecer normas y métodos de
   aplicación
   - Poner en práctica y comprobar la
   aplicación y corrección de las normas
   establecidas
   - Verificar periódicamente el cumplimiento
   de los niveles de calidad prefijados
• Designación del Coordinador de Seguridad y Salud durante la ejecución del Proyecto</t>
  </si>
  <si>
    <t>Reforma CPD T2: 342.544,60 €
Cambio cabinas pasaporte T123: 482.413,12 €
Filtro T4+2 VIP: 1.432.132,67 €
Filtro Alamán: 109.674,07 €
Instalaciones Divisón TIC T2: 1.287.437,05 €
Total: 3.654.201,51 €</t>
  </si>
  <si>
    <t>La UTE estuvo formada por G.O.C S.A y AIRAÍ Ingeniería y Servicios, S.A.</t>
  </si>
  <si>
    <t>Hubo tres ampliaciones de plazo, que entraron en vigor en febrero de 2017, junio de 2017 y agosto de 2017, respectivamente.</t>
  </si>
  <si>
    <t>VIR-Belvis</t>
  </si>
  <si>
    <t>Proyecto Línea de Baja Tensión para Electrificación de Finca</t>
  </si>
  <si>
    <t>Belvis de Jarama</t>
  </si>
  <si>
    <t>1.352,15 $</t>
  </si>
  <si>
    <t>VIRELEC Energía</t>
  </si>
  <si>
    <t>El objeto del contrato fue la electrificación de una línea de baja tensión para una finca que disponía de una caseta de aperos. Los trabajos necesarios consistían en un refuerzo, adecuación o reforma de instalaciones de la red de distribución, así como trabajos necesarios para la nueva extensión de red.</t>
  </si>
  <si>
    <t xml:space="preserve">El principal trabajo realizado por AIRIA fue la redacción de los siguientes entrgables:
• Memoria
• Planos
• PPT
• Presupuesto y mediciones
</t>
  </si>
  <si>
    <t>ATRP Helipuerto HU La Paz</t>
  </si>
  <si>
    <t>Asistencia Técnica para la redacción del Proyecto de Ejecución de un helipuerto que dé servicio al Hospital Universitario de La Paz</t>
  </si>
  <si>
    <t>23.653,19 $</t>
  </si>
  <si>
    <t>Consejería de Transportes, Vivienda e Infraestructuras</t>
  </si>
  <si>
    <t>Juan José Pérez Blanco, Director Gerente del Hospital Universitario La Paz, Paseo de la Castellana, 261, 28046 Madrid, Mail: juanjose.perez@salud.madrid.org, Tlf. 91.727.70.05</t>
  </si>
  <si>
    <t>El alcance de los trabajos englobó la redacción del Proyecto Constructivo de un nuevo helipuerto en el interior de las instalaciones del recinto hospitalario de La Paz que absorbiera las operaciones tipo HEMS.</t>
  </si>
  <si>
    <t>El alcance de la asistencia abarcó los siguientes trabajos:
• Recopilación de datos y requerimientos operativos de la ubicación seleccionada para la construcción del helipuerto
• Diseño de las características físicas y las ayudas visuales para el helipuerto elevado, tomando como helicópteros de diseño el modelo Bell 412 EP y el Augusta Westland 109
• Estudio geotécnico
• Cálculo de la estructura del helipuerto elevado
• Cálculo y diseño de las instalaciones: balizamiento, protección contra incendios, saneamiento, iluminación, etc.
• Diseño de los accesos a la plataforma elevada, mediante un ascensor y una escalera conectados por una pasarela
• Definición de las superficies limitadoras de obstáculos y estudio de obstáculos, así como identificación de los servicios afectados, tanto por la construcción del helipuerto como por la posterior operación</t>
  </si>
  <si>
    <t>ATRP'S Infra Aena</t>
  </si>
  <si>
    <t>Asistencia Técnica de Proyectos y Obras de la Dirección de Infraestructuras y Tecnologías</t>
  </si>
  <si>
    <t>376.745,17 $</t>
  </si>
  <si>
    <t>María Luisa Bretos Serrano, Gerente de proyecto, Dirección de Infraestructuras y Tecnologías, Calle Peonías 12, Edificio Piovera, 28042 Madrid, Mail: mlbretos@aena.es, Tlf. 670.002.357</t>
  </si>
  <si>
    <t>El objeto del contrato fue la prestación de trabajos de ingeniería necesarios para la redacción de proyectos y/o estudios técnicos, informes de revisión de proyectos, así como la redacción de Pliegos de Prescripciones Técnicas para la Dirección de Infraestructuras y Tecnologías.</t>
  </si>
  <si>
    <t>Los servicios prestados por AIRIA fueron:
• Trabajos previos/Estudio de Alternativas y/o Estudios Técnicos
   - Recopilación de antecedentes
   - Toma de datos básicos y servicios
   afectados
   - Estudios previos/Estudio Alternativas
• Redacción del Proyecto Básico (Memoria, Anexos, Planos, Presupuesto)
   - Definición geométrica de las obras
   - Reposición de servidumbres
   - Metodología para la determinación de
   coordenadas de puntos aeronáuticas
   - Aspectos objeto de aprobación por los
   organismos competentes: estudios,
   trazados, expropiaciones, etc.
   - Presupuestos aproximados de las obras
• Redacción del Proyecto Constructivo
(Memoria, Anejos, Planos, Pliego de Prescripciones Técnicas)
   - Información sobre los servicios afectados
   por la obra, incluyendo su reposición
   - Cumplimiento de la Normativa Técnica de
   aplicación
   - Información sobre las medidas estudiadas
   para mantener la operatividad del
   aeropuerto
   - Recoger las observaciones de los
   Organismos afectados recibidas hasta la
   recepción de los trabajos, tanto oficiales
   como internos de Aena
   - Desarrollo de todas las especificaciones
   expresadas en el anexo del Pliego
   "Definición de la obra a ejecutar"
   - Consideración de la Normativa y Plan
   Medioambiental específico del aeropuerto
• Replanteo previo sobre el terreno de la obra proyectada
• Plan de Aseguramiento de la Calidad específico del Expediente
   - Fijar niveles de calidad
   - Establecer normas y métodos de
   aplicación
   - Poner en práctica y comprobar la
   aplicación y corrección de las normas
   establecidas
   - Verificar periódicamente el cumplimiento
   de los niveles de calidad prefijados
• Designación del Coordinador de Seguridad y Salud durante la elaboración del proyecto
• Informes de revisión de proyectos</t>
  </si>
  <si>
    <t>ATCV Filtros T1 MAD</t>
  </si>
  <si>
    <t>Mejoras Hub T123 - A.T.C.V. Ampliación Filtro T1 y Ampliación Control de Pasaportes T1 Puertas A y B</t>
  </si>
  <si>
    <t>18.014,06 $</t>
  </si>
  <si>
    <t>El objeto del contrato fue la prestación de trabajos de ingeniería necesarios para la ejecución de las obras "Ampliación Filtro T1 y ampliación control de pasaportes T1 puertas A y B", en el Aeropuerto Adolfo Suárez Madrid-Barajas. El Lote 2 (ATCV) abarcó la Asistencia Técnica de Control y Vigilancia de las obras.</t>
  </si>
  <si>
    <t>• Supervisión de la ejecución
   - Controles antes
   - Controles durante la ejecución de obra
   - Controles después de la ejecución
• Servicios de supervisión y control. Antes del inicio de la ejecución de obra
   - Análisis previo del proyecto objeto de
   supervisión, que incluyó el estudio de
   aquellas observaciones detectadas en la
   fase de evaluación de ofertas
   - Revisión del proyecto constructivo objeto
   del contrato, centrándose en bases de
   cálculo de elementos estructurales, cálculo
   de estructuras y cálculo de instalaciones,
   análisis de la estabilidad de desmontes y
   revisión de las hipótesis y cálculo de las
   cimentaciones, identificación en el proyecto
   de posibles errores u omisiones y propuesta
   de soluciones, coherencia entre planos,
   anejos y Pliego de Prescripciones Técnicas
   del proyecto, nivel de definición de las
   especificaciones sobre materiales, equipos,
   unidades de obra y partidas alzadas
   - Análisis exhaustivo del programa de
   trabajos con el resto de unidades del
   aeropuerto (operaciones, mantenimiento, 
   comercial, etc.)
   - Verificación de la disponibilidad de todos
   los terrenos precisos para el inicio de los
   trabajos
   - Análisis de afecciones a viales,
   instalaciones y otros servicios existentes
   - Análisis del proyecto desde el punto de
   vista medioambiental
• Servicios de supervisión y control. Trabajos durante la ejecución de las obras
   - Control geométrico de la obra, consistente
   en garantizar que los materiales, su
   instalación o puesta en obra y las unidades
   terminadas se ajustaban a las
   prescripciones técnicas del proyecto o a
   las modificaciones autorizadas, incluyendo
   los replanteos y comprobaciones
   necesarios
   - Control cualitativo de la obra, consistente
   en la medición de las diversas unidades de
   obra
   - Control cualitativo de la obra, cuyo objeto
   fue garantizar que los materiales, instalación
   , puesta en obra y unidades de obra
   terminadas, se ajustaran a las
   prescripciones técnicas del proyecto o
   modificaciones autorizadas. La realización
   del control comprendió la organización y
   ejecución de la toma de muestras de
   materiales y unidades de obra; la
   identificación, custodia y envío al
   laboratorio de muestras y la ejecución de
   ensayos, pruebas de funcionamiento o
   ensayos in situ
   - Vigilancia sistemática de los procesos de
   fabricación y puesta en obra de las
   distintas unidades para asegurar que la
   fabricación se ajustaba a las condiciones
   contractuales
• Servicios de supervisión y control. Trabajos finales
   - Valoración cualitativa y cuantitativa de la
   totalidad de las unidades ejecutadas de
   acuerdo al proyecto aprobado y aceptado
   en la recepción de obra
   - Redacción de informe final de todo el
   control y vigilancia realizado, del
   seguimiento del plan de obra y de los
   informes de resultados e incidencias
   - Elaboración de un informe para la
   conservación y mantenimiento de la obra
   ejecutada resumiendo las características de
   la obra, manuales de mantenimiento y
   operación, fichas técnicas, suministradores, 
   y toda la información de interés
   - Control de todas las pruebas finales de
   las instalaciones, comprobando los
   parámetros de diseño e incluyendo los
   protocolos de cada instalador
   - Gestión y obtención de los Certificados
   Oficiales relativos a la aprobación de todas
   las instalaciones por parte de los
   organismos nacionales, autonómicos y
   municipales
   - Acordar con el Director del Expediente el
   índice para la DFO y realización de un
   seguimiento y control de las entregas de
   dicha documentación
   - Redacción del informe final relativo a la
   coordinación de seguridad y salud
   - Redacción del informe final relativo al
   PVSO según la Instrucción Operativa EXA
   50
   - Realización de un informe de
   mantenimiento y conservación de la obra
   - Elaboración de un informe presupuestario
   sobre la medición final de las obras
   - Elaboración del acta de cumplimiento de
   las condiciones medioambientales de las
   obras
• Servicios para la familiarización y traslado de las nuevas instalaciones
   - Facilitación de la documentación
   necesaria para la elaboración por parte de
   Aena de la documentación para la
   impartición de la familiarización de los
   trabajadores del aeropuerto con las nuevas
   instalaciones
   - Aporte de la documentación necesaria
   para la elaboración de la documentación
   para la organización del traslado
   - Asesoramiento en la definición del plan
   logístico de traslado de medios humanos
   y materiales a las nuevas instalaciones
• Pruebas de Explotación
   - Revisión de las guías de Pruebas de
   Explotación
   - Prestación de servicio en las reuniones de
   preparación previa, últimos preparativos y
   análisis y conclusiones de cada sesión de
   pruebas de explotación
   - Asesoramiento en la preparación y
   desarrollo de las mismas dentro de lo
   concerniente a las obras del pliego
   - Aportación de soluciones y plazos para
   la resolución de las posibles anomalías o
   disfunciones detectadas en el transcurso de
   las pruebas de explotación
   - Realización del seguimiento de la
   resolución de las anomalías de acuerdo a
   las soluciones y plazos propuestos
   - Asistencia a las pruebas de explotación
   - Asesoramiento en la comprobación de la
   resolución de las anomalías detectadas
• Puesta en Explotación y periodo posterior a la Puesta en Explotación
   - Elaboración de un plan de seguimiento de
   la Puesta en Explotación y periodo posterior
   y la prestación de servicio de seguimiento
   - Actualización del plan de seguimiento
   en función de la marcha de las primeras
   horas de explotación de las instalaciones y
   del periodo post-Puesta en Explotación
   - Asistencia a todas las reuniones
   convocadas para la preparación y
   evaluación de la Puesta en Explotación y
   periodo post-Puesta en Explotación</t>
  </si>
  <si>
    <t>Hubo una ampliación de 299 días, firmada el 7 de abril de 2017.</t>
  </si>
  <si>
    <t>Nave carga LKS</t>
  </si>
  <si>
    <t>Redacción de documentación específica aeroportuaria para el Proyecto de Construcción de una nave y edificio de oficinas adosado en el Centro de Carga Aérea Madrid-Barajas</t>
  </si>
  <si>
    <t>19.440,57 $</t>
  </si>
  <si>
    <t>LKS Ingeniería, S. COOP</t>
  </si>
  <si>
    <t>Jorge Domínguez, Área de Industria y Energía, Mail: jdominguez@lksgroup.com, Tlf. 609.41.59.21</t>
  </si>
  <si>
    <t>El alcance de la oferta fue la prestación de servicios de Asistencia Técnica durante el plazo de redacción del proyecto así como la elaboración de los documentos de carácter aeronáutico que lo componían.</t>
  </si>
  <si>
    <t>Los trabajos que AIRIA llevó a cabo fueron:
• Asistencia en la redacción del proyecto
   - Anejo de Cumplimiento de Normas
   Técnicas, que justificase el cumplimiento
   de las normas técnicas
   - Redacción del Estudio Aeronáutico de
   Seguridad en caso de ser necesario
   - Anejo de Seguridad Operacional,
   compuesto por un estudio de operatividad
   y de un análisis de riesgos tanto en la fase
   de ejecución de obras, como de
   explotación de infraestructuras
    - Anejo de Seguridad Aeroportuaria y
   Operatividad con los aspectos relativos a
   la separación lado aire-tierra afectados por
   la construcción de la nave
   - Anejo de Servidumbres Aeroportuarias
   para determinar las alturas disponibles para
   el edificio y las grúas de construcción sin
   vulnerar las SLO
   - Visado de los proyectos por Ingeniero
   Aeronáutico
• Coordinación
   - Asistencia a reuniones previas de
   coordinación con cliente y lanzamiento del
   Proyecto
   - Definición de la logística de
   funcionamiento, asesoría en la estructura de
   la documentación de proyecto, formatos,
   plantillas y todo lo necesario para comenzar
   la producción en el modo y maneras de
   Aena
   - Asesoría consultiva a LKS en aquellos
   requerimientos solicitados por Aena
   - Asistencia a reuniones con Aena
   - Colaboración continua en la adecuación
   de la documentación del proyecto a la
   normativa y requisitos de Aena
   - Coordinación de cualquier materia
   aeronáutica con los organismos pertinentes
   - Revisión formal del Proyecto
• Autoría del proyecto
   - Firma del Proyecto Básico
   - Firma del Proyecto de Ejecución
   - Visado de los puntos anteriores</t>
  </si>
  <si>
    <t>Cálculo VIGA T4</t>
  </si>
  <si>
    <t>Estudio arquitectónico Aeropuerto de Barajas</t>
  </si>
  <si>
    <t>Estudio</t>
  </si>
  <si>
    <t>695,08 $</t>
  </si>
  <si>
    <t>IKUSI S.L.</t>
  </si>
  <si>
    <t>Jorge García González, Project Manager AER, Mail: jorge.garcia@ikusi.com, Tlf. 943.44.88.00</t>
  </si>
  <si>
    <t>IKUSI deseaba instalar unos monitores de información sobre una viga existente en el Terminal T4 del Aeropuerto Adolfo Suárez Madrid Barajas, por lo que debía presentar un cálculo estructural. AIRIA realizó dicho trabajo.</t>
  </si>
  <si>
    <t>El alcance de la colaboración se circunscribió a las siguientes actividades:
• Redacción del cálculo estructural
   - Cálculo estructural, incluyendo informe de
   comprobación de la viga
• Visita a las instalaciones</t>
  </si>
  <si>
    <t>ATRPDOCV BALEARES L1</t>
  </si>
  <si>
    <t>Asistencia Técnica para la Redacción de Proyectos, Control y Vigilancia y Dirección de Obra de Actuaciones Descentralizadas en Aeropuertos</t>
  </si>
  <si>
    <t>Zona Baleares</t>
  </si>
  <si>
    <t>1.533.279,75 $</t>
  </si>
  <si>
    <t>El objeto del contrato fue la prestación de trabajos de ingeniería necesarios para la realización de los proyectos, las direcciones de obra y el control y vigilancia de las mismas, en los aeropuertos de la Zona Baleares. Los trabajos incluyeron la Asistencia Técnica para la Redacción de Proyectos (redacción de los documentos previos y los proyectos constructivos) y la Asistencia Técnica para la Dirección de Obra y Control y Vigilancia, consistente en la Dirección y Asistencia Técnica de Control y Vigilancia de las obras correspondientes a los aeropuertos.</t>
  </si>
  <si>
    <t>No, pero existe un Acta de Recepción y Liquidación Única, de septiembre de 2020.</t>
  </si>
  <si>
    <t>ATCV Repavimentación TFS</t>
  </si>
  <si>
    <t>ATCV Repavimentación de la Pista. Aeropuerto de Tenerife Sur</t>
  </si>
  <si>
    <t>63.960,27 $</t>
  </si>
  <si>
    <t>Eugenio Monje García, Jefe División de Contratación, Calle Peonías 12, 28042 Madrid, Mail: emonje@aena.es, Tlf. 91.321.26.45</t>
  </si>
  <si>
    <t>El objeto del contrato fue la prestación de trabajos de ingeniería necesarios para la ejecución de las obras Repavimentación de la Pista en el Aeropuerto de Tenerife Sur. Los trabajos incluyeron la Asistencia Técnica para el Control y Vigilancia, consistente en la  Asistencia Técnica de Control y Vigilancia de las obras.</t>
  </si>
  <si>
    <t>Los trabajos a realizar iban a incluir:
• Supervisión de la ejecución
   - Controles antes
   - Controles durante la ejecución de obra
   - Controles después de la ejecución
• Servicios de supervisión y control. Antes del inicio de la ejecución de obra
   - Análisis previo del proyecto objeto de
   supervisión, que incluyó el estudio de
   aquellas observaciones detectadas en la
   fase de evaluación de ofertas
   - Revisión del proyecto constructivo objeto
   del contrato, centrándose en bases de
   cálculo de elementos estructurales, cálculo
   de estructuras y cálculo de instalaciones,
   análisis de la estabilidad de desmontes y
   revisión de las hipótesis y cálculo de las
   cimentaciones, identificación en el proyecto
   de posibles errores u omisiones y propuesta
   de soluciones, coherencia entre planos,
   anejos y Pliego de Prescripciones Técnicas
   del proyecto, nivel de definición de las
   especificaciones sobre materiales, equipos,
   unidades de obra y partidas alzadas
   - Análisis exhaustivo del programa de
   trabajos con el resto de unidades del
   aeropuerto (operaciones, mantenimiento, 
   comercial, etc.)
   - Verificación de la disponibilidad de todos
   los terrenos precisos para el inicio de los
   trabajos
   - Análisis de afecciones a viales,
   instalaciones y otros servicios existentes
   - Análisis del proyecto desde el punto de
   vista medioambiental
• Servicios de supervisión y control. Trabajos durante la ejecución de las obras
   - Control geométrico de la obra, consistente
   en garantizar que los materiales, su
   instalación o puesta en obra y las unidades
   terminadas se ajustaban a las
   prescripciones técnicas del proyecto o a
   las modificaciones autorizadas, incluyendo
   los replanteos y comprobaciones
   necesarios
   - Control cualitativo de la obra, consistente
   en la medición de las diversas unidades de
   obra
   - Control cualitativo de la obra, cuyo objeto
   fue garantizar que los materiales, instalación
   , puesta en obra y unidades de obra
   terminadas, se ajustaran a las
   prescripciones técnicas del proyecto o
   modificaciones autorizadas. La realización
   del control comprendió la organización y
   ejecución de la toma de muestras de
   materiales y unidades de obra; la
   identificación, custodia y envío al
   laboratorio de muestras y la ejecución de
   ensayos, pruebas de funcionamiento o
   ensayos in situ
   - Vigilancia sistemática de los procesos de
   fabricación y puesta en obra de las
   distintas unidades para asegurar que la
   fabricación se ajustaba a las condiciones
   contractuales
• Servicios de supervisión y control. Trabajos finales
   - Valoración cualitativa y cuantitativa de la
   totalidad de las unidades ejecutadas de
   acuerdo al proyecto aprobado y aceptado
   en la recepción de obra
   - Redacción de informe final de todo el
   control y vigilancia realizado, del
   seguimiento del plan de obra y de los
   informes de resultados e incidencias
   - Elaboración de un informe para la
   conservación y mantenimiento de la obra
   ejecutada resumiendo las características de
   la obra, manuales de mantenimiento y
   operación, fichas técnicas, suministradores, 
   y toda la información de interés
   - Control de todas las pruebas finales de
   las instalaciones, comprobando los
   parámetros de diseño e incluyendo los
   protocolos de cada instalador
   - Gestión y obtención de los Certificados
   Oficiales relativos a la aprobación de todas
   las instalaciones por parte de los
   organismos nacionales, autonómicos y
   municipales
   - Acordar con el Director del Expediente el
   índice para la DFO y realización de un
   seguimiento y control de las entregas de
   dicha documentación
   - Redacción del informe final relativo a la
   coordinación de seguridad y salud
   - Redacción del informe final relativo al
   PVSO según la Instrucción Operativa EXA
   50
   - Realización de un informe de
   mantenimiento y conservación de la obra
   - Elaboración de un informe presupuestario
   sobre la medición final de las obras
   - Elaboración del acta de cumplimiento de
   las condiciones medioambientales de las
   obras
• Servicios para la familiarización y traslado de las nuevas instalaciones
   - Facilitación de la documentación
   necesaria para la elaboración por parte de
   Aena de la documentación para la
   impartición de la familiarización de los
   trabajadores del aeropuerto con las nuevas
   instalaciones
   - Aporte de la documentación necesaria
   para la elaboración de la documentación
   para la organización del traslado
   - Asesoramiento en la definición del plan
   logístico de traslado de medios humanos
   y materiales a las nuevas instalaciones
• Pruebas de Explotación
   - Revisión de las guías de Pruebas de
   Explotación
   - Prestación de servicio en las reuniones de
   preparación previa, últimos preparativos y
   análisis y conclusiones de cada sesión de
   pruebas de explotación
   - Asesoramiento en la preparación y
   desarrollo de las mismas dentro de lo
   concerniente a las obras del pliego
   - Aportación de soluciones y plazos para
   la resolución de las posibles anomalías o
   disfunciones detectadas en el transcurso de
   las pruebas de explotación
   - Realización del seguimiento de la
   resolución de las anomalías de acuerdo a
   las soluciones y plazos propuestos
   - Asistencia a las pruebas de explotación
   - Asesoramiento en la comprobación de la
   resolución de las anomalías detectadas
• Puesta en Explotación y periodo posterior a la Puesta en Explotación
   - Elaboración de un plan de seguimiento de
   la Puesta en Explotación y periodo posterior
   y la prestación de servicio de seguimiento
   - Actualización del plan de seguimiento
   en función de la marcha de las primeras
   horas de explotación de las instalaciones y
   del periodo post-Puesta en Explotación
   - Asistencia a todas las reuniones
   convocadas para la preparación y
   evaluación de la Puesta en Explotación y
   periodo post-Puesta en Explotación</t>
  </si>
  <si>
    <t>Los servicios prestados en el caso de la redacción de proyectos fueron:
• Redacción del Proyecto Básico (Memoria, Anexos, Planos, Presupuesto)
   - Definición geométrica de las obras
   - Reposición de servidumbres y servicios
   afectados
   - Metodología para la determinación de
   coordenadas de puntos aeronáuticos
   - Aspectos objeto de aprobación por los
   organismos competentes
   - Presupuestos aproximados de las obras
• Redacción del Proyecto Constructivo (Memoria, Anexos, Planos, Pliego de Prescripciones Técnicas y Presupuesto)
   - Información sobre los servicios afectados
   por la obra, incluyendo su reposición
   - Cumplimiento de la Normativa Técnica de
   aplicación
   - Información sobre las medidas estudiadas
   para mantener la operatividad del
   aeropuerto
   - Recoger las observaciones de los
   Organismos afectados recibidas hasta la
   recepción de los trabajos, tanto oficiales
   como internos de Aena
   - Desarrollo de todas las especificaciones
   expresadas en el anexo del Pliego
   "Definición de la obra a ejecutar"
   - Consideración de la Normativa y Plan
   Medioambiental específico del aeropuerto
• Replanteo previo sobre el terreno de la obra proyectada
• Plan de Aseguramiento de la Calidad
   - Fijar niveles de calidad
   - Establecer normas y métodos de
   aplicación
   - Poner en práctica y comprobar la
   aplicación y corrección de las normas
   establecidas
   - Verificar periódicamente el cumplimiento
   de los niveles de calidad prefijados
• Designación del Coordinador de Seguridad y Salud
• Informes de revisión de proyectos
Los servicios prestados para la Asistencia Técnica de Control y Vigilancia fueron:
• Supervisión de la ejecución
   - Controles antes
   - Controles durante la ejecución de obra
   - Controles después de la ejecución
• Servicios de supervisión y control. Antes del inicio de la ejecución de obra
   - Análisis previo del proyecto objeto de
   supervisión, que incluyó el estudio de
   aquellas observaciones detectadas en la
   fase de evaluación de ofertas
   - Revisión del proyecto constructivo objeto
   del contrato, centrándose en bases de
   cálculo de elementos estructurales, cálculo
   de estructuras y cálculo de instalaciones,
   análisis de la estabilidad de desmontes y
   revisión de las hipótesis y cálculo de las
   cimentaciones, identificación en el proyecto
   de posibles errores u omisiones y propuesta
   de soluciones, coherencia entre planos,
   anejos y Pliego de Prescripciones Técnicas
   del proyecto, nivel de definición de las
   especificaciones sobre materiales, equipos,
   unidades de obra y partidas alzadas
   - Análisis exhaustivo del programa de
   trabajos con el resto de unidades del
   aeropuerto (operaciones, mantenimiento, 
   comercial, etc.)
   - Verificación de la disponibilidad de todos
   los terrenos precisos para el inicio de los
   trabajos
   - Análisis de afecciones a viales,
   instalaciones y otros servicios existentes
   - Análisis del proyecto desde el punto de
   vista medioambiental
• Servicios de supervisión y control. Trabajos durante la ejecución de las obras
   - Control geométrico de la obra, consistente
   en garantizar que los materiales, su
   instalación o puesta en obra y las unidades
   terminadas se ajustaban a las
   prescripciones técnicas del proyecto o a
   las modificaciones autorizadas, incluyendo
   los replanteos y comprobaciones
   necesarios
   - Control cualitativo de la obra, consistente
   en la medición de las diversas unidades de
   obra
   - Control cualitativo de la obra, cuyo objeto
   fue garantizar que los materiales, instalación
   , puesta en obra y unidades de obra
   terminadas, se ajustaran a las
   prescripciones técnicas del proyecto o
   modificaciones autorizadas. La realización
   del control comprendió la organización y
   ejecución de la toma de muestras de
   materiales y unidades de obra; la
   identificación, custodia y envío al
   laboratorio de muestras y la ejecución de
   ensayos, pruebas de funcionamiento o
   ensayos in situ
   - Vigilancia sistemática de los procesos de
   fabricación y puesta en obra de las
   distintas unidades para asegurar que la
   fabricación se ajustaba a las condiciones
   contractuales
• Servicios de supervisión y control. Trabajos finales
   - Valoración cualitativa y cuantitativa de la
   totalidad de las unidades ejecutadas de
   acuerdo al proyecto aprobado y aceptado
   en la recepción de obra
   - Redacción de informe final de todo el
   control y vigilancia realizado, del
   seguimiento del plan de obra y de los
   informes de resultados e incidencias
   - Elaboración de un informe para la
   conservación y mantenimiento de la obra
   ejecutada resumiendo las características de
   la obra, manuales de mantenimiento y
   operación, fichas técnicas, suministradores, 
   y toda la información de interés
   - Control de todas las pruebas finales de
   las instalaciones, comprobando los
   parámetros de diseño e incluyendo los
   protocolos de cada instalador
   - Gestión y obtención de los Certificados
   Oficiales relativos a la aprobación de todas
   las instalaciones por parte de los
   organismos nacionales, autonómicos y
   municipales
   - Acordar con el Director del Expediente el
   índice para la DFO y realización de un
   seguimiento y control de las entregas de
   dicha documentación
   - Redacción del informe final relativo a la
   coordinación de seguridad y salud
   - Redacción del informe final relativo al
   PVSO según la Instrucción Operativa EXA
   50
   - Realización de un informe de
   mantenimiento y conservación de la obra
   - Elaboración de un informe presupuestario
   sobre la medición final de las obras
   - Elaboración del acta de cumplimiento de
   las condiciones medioambientales de las
   obras
• Servicios para la familiarización y traslado de las nuevas instalaciones
   - Facilitación de la documentación
   necesaria para la elaboración por parte de
   Aena de la documentación para la
   impartición de la familiarización de los
   trabajadores del aeropuerto con las nuevas
   instalaciones
   - Aporte de la documentación necesaria
   para la elaboración de la documentación
   para la organización del traslado
   - Asesoramiento en la definición del plan
   logístico de traslado de medios humanos
   y materiales a las nuevas instalaciones
• Pruebas de Explotación
   - Revisión de las guías de Pruebas de
   Explotación
   - Prestación de servicio en las reuniones de
   preparación previa, últimos preparativos y
   análisis y conclusiones de cada sesión de
   pruebas de explotación
   - Asesoramiento en la preparación y
   desarrollo de las mismas dentro de lo
   concerniente a las obras del pliego
   - Aportación de soluciones y plazos para
   la resolución de las posibles anomalías o
   disfunciones detectadas en el transcurso de
   las pruebas de explotación
   - Realización del seguimiento de la
   resolución de las anomalías de acuerdo a
   las soluciones y plazos propuestos
   - Asistencia a las pruebas de explotación
   - Asesoramiento en la comprobación de la
   resolución de las anomalías detectadas
• Puesta en Explotación y periodo posterior a la Puesta en Explotación
   - Elaboración de un plan de seguimiento de
   la Puesta en Explotación y periodo posterior
   y la prestación de servicio de seguimiento
   - Actualización del plan de seguimiento
   en función de la marcha de las primeras
   horas de explotación de las instalaciones y
   del periodo post-Puesta en Explotación
   - Asistencia a todas las reuniones
   convocadas para la preparación y
   evaluación de la Puesta en Explotación y
   periodo post-Puesta en Explotación</t>
  </si>
  <si>
    <t>AIRIA renunció al contrato.</t>
  </si>
  <si>
    <t>ATRPDOCV NOROESTE L3</t>
  </si>
  <si>
    <t>Zona Noroeste</t>
  </si>
  <si>
    <t>2.331.374,80 $</t>
  </si>
  <si>
    <t>824.634,36 $</t>
  </si>
  <si>
    <t>Existe un Certificado de Buena Ejecución provisional, de septiembre de 2019.</t>
  </si>
  <si>
    <t>La UTE estuvo formada por AIRIA Ingeniería y Servicios, S.A. y Gesnaer Consulting, S.L.N.E.</t>
  </si>
  <si>
    <t>ATCV Aparcamientos</t>
  </si>
  <si>
    <t xml:space="preserve">ATDOCV Suministro de Equipos para el Control de la Actividad de los Vehículos de Alquiler en Varios Aeropuertos </t>
  </si>
  <si>
    <t>70.567,09 $</t>
  </si>
  <si>
    <t>Oscar Manzano Vazquez, Director del Expediente, División de Instalaciones Aeroportuarias, Calle Peonías 12, 28042 Madrid, Mail: omanzano@aena.es, Tlf. 670.00.33.08</t>
  </si>
  <si>
    <t>El objeto del contrato fue el de prestar los trabajos de Asistencia Técnica para la Dirección de Obra y para el Control y Vigilancia necesarios para la ejecución de los trabajos contemplados en el expediente.</t>
  </si>
  <si>
    <t>Las obligaciones y funciones desarrolladas para el servicio de Dirección de Obra fueron:
• Realizar la Dirección Facultativa de las obras
• Dar solución técnica a las incidencias y contingencias producidas en el desarrollo de la obra y consignar en el libro de órdenes
• Verificar el replanteo y la viabilidad del proyecto, y en el caso de edificación, la comprobación de la cimentación y estructura proyectada
• Proponer al Director las modificaciones del proyecto que regularizasen las incidencias
• Suscribir el Acta de replanteo, recepción y el certificado final de obra
• Cumplimiento de la normativa de Seguridad y Salud
• Velar por el cumplimiento de plazos parciales y total de ejecución, y realización de la propuesta de liquidación de la obra
• Control económico de la inversión
• Impulsar y controlar el cumplimiento de los requisitos de Calidad mediante la aprobación del Plan de Aseguramiento de la Calidad
• Impulsar y controlar el cumplimiento de los requisitos ambientales a través del Plan de Vigilancia Ambiental
• Compatibilizar la ejecución de las obras con la normal operación del aeropuerto
• Impulsar y controlar la seguridad operativa de las obras mediante la aprobación del Plan de Vigilancia de Seguridad Operativa
Los servicios prestados para la Asistencia Técnica de Control y Vigilancia fueron:
• Supervisión de la fabricación
• Supervisión de la ejecución de la obra civil
   - Controles antes
   - Controles durante la ejecución de obra
   - Controles después de la ejecución
• Servicios de supervisión y control. Antes del inicio de la ejecución de obra
   - Análisis previo del proyecto objeto de
   supervisión, que incluyó el estudio de
   aquellas observaciones detectadas en la
   fase de evaluación de ofertas
   - Revisión del proyecto constructivo objeto
   del contrato, centrándose en bases de
   cálculo de elementos estructurales, cálculo
   de estructuras y cálculo de instalaciones,
   análisis de la estabilidad de desmontes y
   revisión de las hipótesis y cálculo de las
   cimentaciones, identificación en el proyecto
   de posibles errores u omisiones y propuesta
   de soluciones, coherencia entre planos,
   anejos y Pliego de Prescripciones Técnicas
   del proyecto, nivel de definición de las
   especificaciones sobre materiales, equipos,
   unidades de obra y partidas alzadas
   - Análisis exhaustivo del programa de
   trabajos con el resto de unidades del
   aeropuerto (operaciones, mantenimiento, 
   comercial, etc.)
   - Verificación de la disponibilidad de todos
   los terrenos precisos para el inicio de los
   trabajos
   - Análisis de afecciones a viales,
   instalaciones y otros servicios existentes
   - Análisis del proyecto desde el punto de
   vista medioambiental
• Servicios de supervisión y control. Trabajos durante la ejecución de las obras
   - Control geométrico de la obra, consistente
   en garantizar que los materiales, su
   instalación o puesta en obra y las unidades
   terminadas se ajustaban a las
   prescripciones técnicas del proyecto o a
   las modificaciones autorizadas, incluyendo
   los replanteos y comprobaciones
   necesarios
   - Control cualitativo de la obra, consistente
   en la medición de las diversas unidades de
   obra
   - Control cualitativo de la obra, cuyo objeto
   fue garantizar que los materiales, instalación
   , puesta en obra y unidades de obra
   terminadas, se ajustaran a las
   prescripciones técnicas del proyecto o
   modificaciones autorizadas. La realización
   del control comprendió la organización y
   ejecución de la toma de muestras de
   materiales y unidades de obra; la
   identificación, custodia y envío al
   laboratorio de muestras y la ejecución de
   ensayos, pruebas de funcionamiento o
   ensayos in situ
   - Vigilancia sistemática de los procesos de
   fabricación y puesta en obra de las
   distintas unidades para asegurar que la
   fabricación se ajustaba a las condiciones
   contractuales
• Servicios de supervisión y control. Trabajos finales
   - Valoración cualitativa y cuantitativa de la
   totalidad de las unidades ejecutadas de
   acuerdo al proyecto aprobado y aceptado
   en la recepción de obra
   - Redacción de informe final de todo el
   control y vigilancia realizado, del
   seguimiento del plan de obra y de los
   informes de resultados e incidencias
   - Elaboración de un informe para la
   conservación y mantenimiento de la obra
   ejecutada resumiendo las características de
   la obra, manuales de mantenimiento y
   operación, fichas técnicas, suministradores, 
   y toda la información de interés
   - Control de todas las pruebas finales de
   las instalaciones, comprobando los
   parámetros de diseño e incluyendo los
   protocolos de cada instalador
   - Gestión y obtención de los Certificados
   Oficiales relativos a la aprobación de todas
   las instalaciones por parte de los
   organismos nacionales, autonómicos y
   municipales
   - Acordar con el Director del Expediente el
   índice para la DFO y realización de un
   seguimiento y control de las entregas de
   dicha documentación
   - Redacción del informe final relativo a la
   coordinación de seguridad y salud
   - Redacción del informe final relativo al
   PVSO según la Instrucción Operativa EXA
   50
   - Realización de un informe de
   mantenimiento y conservación de la obra
   - Elaboración de un informe presupuestario
   sobre la medición final de las obras
   - Elaboración del acta de cumplimiento de
   las condiciones medioambientales de las
   obras
• Servicios para la familiarización y traslado de las nuevas instalaciones
   - Facilitación de la documentación
   necesaria para la elaboración por parte de
   Aena de la documentación para la
   impartición de la familiarización de los
   trabajadores del aeropuerto con las nuevas
   instalaciones
   - Aporte de la documentación necesaria
   para la elaboración de la documentación
   para la organización del traslado
   - Asesoramiento en la definición del plan
   logístico de traslado de medios humanos
   y materiales a las nuevas instalaciones
• Pruebas de Explotación
   - Revisión de las guías de Pruebas de
   Explotación
   - Prestación de servicio en las reuniones de
   preparación previa, últimos preparativos y
   análisis y conclusiones de cada sesión de
   pruebas de explotación
   - Asesoramiento en la preparación y
   desarrollo de las mismas dentro de lo
   concerniente a las obras del pliego
   - Aportación de soluciones y plazos para
   la resolución de las posibles anomalías o
   disfunciones detectadas en el transcurso de
   las pruebas de explotación
   - Realización del seguimiento de la
   resolución de las anomalías de acuerdo a
   las soluciones y plazos propuestos
   - Asistencia a las pruebas de explotación
   - Asesoramiento en la comprobación de la
   resolución de las anomalías detectadas
• Puesta en Explotación y periodo posterior a la Puesta en Explotación
   - Elaboración de un plan de seguimiento de
   la Puesta en Explotación y periodo posterior
   y la prestación de servicio de seguimiento
   - Actualización del plan de seguimiento
   en función de la marcha de las primeras
   horas de explotación de las instalaciones y
   del periodo post-Puesta en Explotación
   - Asistencia a todas las reuniones
   convocadas para la preparación y
   evaluación de la Puesta en Explotación y
   periodo post-Puesta en Explotación</t>
  </si>
  <si>
    <t>No, pero existen Actas de Recepción y Liquidación Únicas para 4 de los lotes.</t>
  </si>
  <si>
    <t>Se produjeron suspensiones en los Lotes 1, 3 y 5 debido a retrasos en la planificación y confirmación del inicio de las tareas. Se reanudaron los trabajos dos meses después en el caso de dos lotes, y cuatro meses en el otro caso.</t>
  </si>
  <si>
    <t>ATCV Paracuellos ENAIRE</t>
  </si>
  <si>
    <t>Adecuación eléctrica en el centro de emisores y centro de receptores en Paracuellos del Jarama (Madrid)</t>
  </si>
  <si>
    <t>Paracuellos del Jarama</t>
  </si>
  <si>
    <t>56.198,45 $</t>
  </si>
  <si>
    <t>ENAIRE</t>
  </si>
  <si>
    <t>José Ávila González, Director del Expediente, Navegación Aérea, División de Verificación e Infraestructuras, Edificio Lamela, Avenida de Aragón, 402, 28022 Madrid, Mail: javila@enaire.es, Tlf. 91.321.01.38</t>
  </si>
  <si>
    <t xml:space="preserve">El objeto del contrato fue la prestación de trabajos de "Asistencia Técnica de Control y Vigilancia" necesarios para la ejecución de las obras previstas con el expediente "Adecuación Eléctrica del Centro de Emisores y Centro de Receptores en Paracuellos del Jarama (Madrid)". </t>
  </si>
  <si>
    <t>Los servicios prestados para la Asistencia Técnica de Control y Vigilancia fueron:
• Supervisión de la ejecución de la obra civil
   - Controles antes
   - Controles durante la ejecución de obra
   - Controles después de la ejecución
• Servicios de supervisión y control. Antes del inicio de la ejecución de obra
   - Análisis previo del proyecto objeto de
   supervisión, que incluyó el estudio de
   aquellas observaciones detectadas en la
   fase de evaluación de ofertas
   - Revisión del proyecto constructivo objeto
   del contrato, centrándose en bases de
   cálculo de elementos estructurales, cálculo
   de estructuras y cálculo de instalaciones,
   análisis de la estabilidad de desmontes y
   revisión de las hipótesis y cálculo de las
   cimentaciones, identificación en el proyecto
   de posibles errores u omisiones y propuesta
   de soluciones, coherencia entre planos,
   anejos y Pliego de Prescripciones Técnicas
   del proyecto, nivel de definición de las
   especificaciones sobre materiales, equipos,
   unidades de obra y partidas alzadas
   - Análisis exhaustivo del programa de
   trabajos con el resto de unidades del
   aeropuerto (operaciones, mantenimiento, 
   comercial, etc.)
   - Verificación de la disponibilidad de todos
   los terrenos precisos para el inicio de los
   trabajos
   - Análisis de afecciones a viales,
   instalaciones y otros servicios existentes
   - Análisis del proyecto desde el punto de
   vista medioambiental
• Servicios de supervisión y control. Trabajos durante la ejecución de las obras
   - Control geométrico de la obra, consistente
   en garantizar que los materiales, su
   instalación o puesta en obra y las unidades
   terminadas se ajustaban a las
   prescripciones técnicas del proyecto o a
   las modificaciones autorizadas, incluyendo
   los replanteos y comprobaciones
   necesarios
   - Control cualitativo de la obra, consistente
   en la medición de las diversas unidades de
   obra
   - Control cualitativo de la obra, cuyo objeto
   fue garantizar que los materiales, instalación
   , puesta en obra y unidades de obra
   terminadas, se ajustaran a las
   prescripciones técnicas del proyecto o
   modificaciones autorizadas. La realización
   del control comprendió la organización y
   ejecución de la toma de muestras de
   materiales y unidades de obra; la
   identificación, custodia y envío al
   laboratorio de muestras y la ejecución de
   ensayos, pruebas de funcionamiento o
   ensayos in situ
   - Vigilancia sistemática de los procesos de
   fabricación y puesta en obra de las
   distintas unidades para asegurar que la
   fabricación se ajustaba a las condiciones
   contractuales
• Servicios de supervisión y control. Trabajos finales
   - Valoración cualitativa y cuantitativa de la
   totalidad de las unidades ejecutadas de
   acuerdo al proyecto aprobado y aceptado
   en la recepción de obra
   - Redacción de informe final de todo el
   control y vigilancia realizado, del
   seguimiento del plan de obra y de los
   informes de resultados e incidencias
   - Elaboración de un informe para la
   conservación y mantenimiento de la obra
   ejecutada resumiendo las características de
   la obra, manuales de mantenimiento y
   operación, fichas técnicas, suministradores, 
   y toda la información de interés
   - Control de todas las pruebas finales de
   las instalaciones, comprobando los
   parámetros de diseño e incluyendo los
   protocolos de cada instalador
   - Gestión y obtención de los Certificados
   Oficiales relativos a la aprobación de todas
   las instalaciones por parte de los
   organismos nacionales, autonómicos y
   municipales
   - Acordar con el Director del Expediente el
   índice para la DFO y realización de un
   seguimiento y control de las entregas de
   dicha documentación
   - Redacción del informe final relativo a la
   coordinación de seguridad y salud
   - Redacción del informe final relativo al
   PVSO según la Instrucción Operativa EXA
   50
   - Realización de un informe de
   mantenimiento y conservación de la obra
   - Elaboración de un informe presupuestario
   sobre la medición final de las obras
   - Elaboración del acta de cumplimiento de
   las condiciones medioambientales de las
   obras
• Servicios para la familiarización y traslado de las nuevas instalaciones
   - Facilitación de la documentación
   necesaria para la elaboración por parte de
   Aena de la documentación para la
   impartición de la familiarización de los
   trabajadores del aeropuerto con las nuevas
   instalaciones
   - Aporte de la documentación necesaria
   para la elaboración de la documentación
   para la organización del traslado
   - Asesoramiento en la definición del plan
   logístico de traslado de medios humanos
   y materiales a las nuevas instalaciones
• Pruebas de Explotación
   - Revisión de las guías de Pruebas de
   Explotación
   - Prestación de servicio en las reuniones de
   preparación previa, últimos preparativos y
   análisis y conclusiones de cada sesión de
   pruebas de explotación
   - Asesoramiento en la preparación y
   desarrollo de las mismas dentro de lo
   concerniente a las obras del pliego
   - Aportación de soluciones y plazos para
   la resolución de las posibles anomalías o
   disfunciones detectadas en el transcurso de
   las pruebas de explotación
   - Realización del seguimiento de la
   resolución de las anomalías de acuerdo a
   las soluciones y plazos propuestos
   - Asistencia a las pruebas de explotación
   - Asesoramiento en la comprobación de la
   resolución de las anomalías detectadas
• Puesta en Explotación y periodo posterior a la Puesta en Explotación
   - Elaboración de un plan de seguimiento de
   la Puesta en Explotación y periodo posterior
   y la prestación de servicio de seguimiento
   - Actualización del plan de seguimiento
   en función de la marcha de las primeras
   horas de explotación de las instalaciones y
   del periodo post-Puesta en Explotación
   - Asistencia a todas las reuniones
   convocadas para la preparación y
   evaluación de la Puesta en Explotación y
   periodo post-Puesta en Explotación</t>
  </si>
  <si>
    <t>No, pero existe un Acta de Recepción y Liquidación Provisional de Servicios.</t>
  </si>
  <si>
    <t>ATCV Seguridad y TIC MAD</t>
  </si>
  <si>
    <t>A.T.C.V. Actuaciones en Dependencias de Seguridad y TIC</t>
  </si>
  <si>
    <t>187.111,06 $</t>
  </si>
  <si>
    <t>El objeto del contrato fue la prestación de trabajos de ingeniería necesarios para la ejecución de las obras ATRP/ATCV Actuaciones en Dependencias de Seguridad y TIC. Aeropuerto Adolfo Suárez Madrid-Barajas.</t>
  </si>
  <si>
    <t>• Supervisión de la ejecución de la obra civil
   - Controles antes
   - Controles durante la ejecución de obra
   - Controles después de la ejecución
• Servicios de supervisión y control. Antes del inicio de la ejecución de obra
   - Análisis previo del proyecto objeto de
   supervisión, que incluyó el estudio de
   aquellas observaciones detectadas en la
   fase de evaluación de ofertas
   - Revisión del proyecto constructivo objeto
   del contrato, centrándose en bases de
   cálculo de elementos estructurales, cálculo
   de estructuras y cálculo de instalaciones,
   análisis de la estabilidad de desmontes y
   revisión de las hipótesis y cálculo de las
   cimentaciones, identificación en el proyecto
   de posibles errores u omisiones y propuesta
   de soluciones, coherencia entre planos,
   anejos y Pliego de Prescripciones Técnicas
   del proyecto, nivel de definición de las
   especificaciones sobre materiales, equipos,
   unidades de obra y partidas alzadas
   - Análisis exhaustivo del programa de
   trabajos con el resto de unidades del
   aeropuerto (operaciones, mantenimiento, 
   comercial, etc.)
   - Verificación de la disponibilidad de todos
   los terrenos precisos para el inicio de los
   trabajos
   - Análisis de afecciones a viales,
   instalaciones y otros servicios existentes
   - Análisis del proyecto desde el punto de
   vista medioambiental
• Servicios de supervisión y control. Trabajos durante la ejecución de las obras
   - Control geométrico de la obra, consistente
   en garantizar que los materiales, su
   instalación o puesta en obra y las unidades
   terminadas se ajustaban a las
   prescripciones técnicas del proyecto o a
   las modificaciones autorizadas, incluyendo
   los replanteos y comprobaciones
   necesarios
   - Control cualitativo de la obra, consistente
   en la medición de las diversas unidades de
   obra
   - Control cualitativo de la obra, cuyo objeto
   fue garantizar que los materiales, instalación
   , puesta en obra y unidades de obra
   terminadas, se ajustaran a las
   prescripciones técnicas del proyecto o
   modificaciones autorizadas. La realización
   del control comprendió la organización y
   ejecución de la toma de muestras de
   materiales y unidades de obra; la
   identificación, custodia y envío al
   laboratorio de muestras y la ejecución de
   ensayos, pruebas de funcionamiento o
   ensayos in situ
   - Vigilancia sistemática de los procesos de
   fabricación y puesta en obra de las
   distintas unidades para asegurar que la
   fabricación se ajustaba a las condiciones
   contractuales
• Servicios de supervisión y control. Trabajos finales
   - Valoración cualitativa y cuantitativa de la
   totalidad de las unidades ejecutadas de
   acuerdo al proyecto aprobado y aceptado
   en la recepción de obra
   - Redacción de informe final de todo el
   control y vigilancia realizado, del
   seguimiento del plan de obra y de los
   informes de resultados e incidencias
   - Elaboración de un informe para la
   conservación y mantenimiento de la obra
   ejecutada resumiendo las características de
   la obra, manuales de mantenimiento y
   operación, fichas técnicas, suministradores, 
   y toda la información de interés
   - Control de todas las pruebas finales de
   las instalaciones, comprobando los
   parámetros de diseño e incluyendo los
   protocolos de cada instalador
   - Gestión y obtención de los Certificados
   Oficiales relativos a la aprobación de todas
   las instalaciones por parte de los
   organismos nacionales, autonómicos y
   municipales
   - Acordar con el Director del Expediente el
   índice para la DFO y realización de un
   seguimiento y control de las entregas de
   dicha documentación
   - Redacción del informe final relativo a la
   coordinación de seguridad y salud
   - Redacción del informe final relativo al
   PVSO según la Instrucción Operativa EXA
   50
   - Realización de un informe de
   mantenimiento y conservación de la obra
   - Elaboración de un informe presupuestario
   sobre la medición final de las obras
   - Elaboración del acta de cumplimiento de
   las condiciones medioambientales de las
   obras
• Servicios para la familiarización y traslado de las nuevas instalaciones
   - Facilitación de la documentación
   necesaria para la elaboración por parte de
   Aena de la documentación para la
   impartición de la familiarización de los
   trabajadores del aeropuerto con las nuevas
   instalaciones
   - Aporte de la documentación necesaria
   para la elaboración de la documentación
   para la organización del traslado
   - Asesoramiento en la definición del plan
   logístico de traslado de medios humanos
   y materiales a las nuevas instalaciones
• Pruebas de Explotación
   - Revisión de las guías de Pruebas de
   Explotación
   - Prestación de servicio en las reuniones de
   preparación previa, últimos preparativos y
   análisis y conclusiones de cada sesión de
   pruebas de explotación
   - Asesoramiento en la preparación y
   desarrollo de las mismas dentro de lo
   concerniente a las obras del pliego
   - Aportación de soluciones y plazos para
   la resolución de las posibles anomalías o
   disfunciones detectadas en el transcurso de
   las pruebas de explotación
   - Realización del seguimiento de la
   resolución de las anomalías de acuerdo a
   las soluciones y plazos propuestos
   - Asistencia a las pruebas de explotación
   - Asesoramiento en la comprobación de la
   resolución de las anomalías detectadas
• Puesta en Explotación y periodo posterior a la Puesta en Explotación
   - Elaboración de un plan de seguimiento de
   la Puesta en Explotación y periodo posterior
   y la prestación de servicio de seguimiento
   - Actualización del plan de seguimiento
   en función de la marcha de las primeras
   horas de explotación de las instalaciones y
   del periodo post-Puesta en Explotación
   - Asistencia a todas las reuniones
   convocadas para la preparación y
   evaluación de la Puesta en Explotación y
   periodo post-Puesta en Explotación</t>
  </si>
  <si>
    <t>CPD Antiguo: 211.875,00 €
Cabinas Pasaportes T123: 474.932,27 €
Filtro T4+2 VIP: 1.071.203,73 €
Cabinas Puertas H: 85.564,86 € 
Oficinas TIC: 1.287.437,05 €
Acometidas Cabinas T1: 185.940,95 €
Total: 3.316.953,86 €</t>
  </si>
  <si>
    <t>Se produjo una ampliación de plazo, firmada en marzo de 2019, por un periodo de 62 días.</t>
  </si>
  <si>
    <t>Reg. Patrimonio MAD (PEDIDO)</t>
  </si>
  <si>
    <t>Servicio de Regularización Patrimonial del Material Almacenado en distintas dependencias del Aeropuerto Adolfo Suárez Madrid-Barajas</t>
  </si>
  <si>
    <t>17.130,73 $</t>
  </si>
  <si>
    <t>Mercedes Alonso Gutiérrez, Jefa Departamento Contabilidad y Patrimonio, Mail: mealonso@aena.es, Tlf. 667.197.998</t>
  </si>
  <si>
    <t>Con motivo de cumplir con el Texto Refundido del Manual de Procedimientos de Activos Fijos y tras la proliferación de diversas dependencias en el aeropuerto cuyo fin era almacenar material en desuso, se pretendió realizar un servicio que de regularización para poder conciliar el material almacenado con el inventario del Aeropuerto.</t>
  </si>
  <si>
    <t>Las tareas realizadas por AIRIA fueron:
• Revisión física de los distintos espacios con material almacenado
• Recuento de los elementos almacenados y toma de datos junto con fotografías de todos los elementos, de modo que pudieran aportar la máxima información al área de Patrimonio del aeropuerto
• Elaboración de listados de cada espacio revisado con el detalle de los elementos localizados en el que se indicó el estado y toda la información que se podía obtener
• Elaboración de una Base de Datos que relacionase los listados y la información en ellos con las fotografías tomadas de cada elemento</t>
  </si>
  <si>
    <t>054</t>
  </si>
  <si>
    <t>ORAT Panamá</t>
  </si>
  <si>
    <t>Asistencia Técnica en preparación operacional y transferencia aeroportuaria (ORAT) para el Aeropuerto Internacional de Tocumen</t>
  </si>
  <si>
    <t>Ciudad de Panamá</t>
  </si>
  <si>
    <t>47.875,52 $</t>
  </si>
  <si>
    <t>EGIS AVIA</t>
  </si>
  <si>
    <t>Bernard Grima, 15 Avenue du Centre, 78280 Guyancourt, Mail: Bernard.GRIMA@egis.fr</t>
  </si>
  <si>
    <t>Los servicios proporcionados consistieron en la provisión de un consultor para la asistencia técnica en preparación operacional y transferencia aeroportuaria (ORAT) para el Aeropuerto Internacional de Tocumen.</t>
  </si>
  <si>
    <t>AIRIA asumió las tareas relativas al rol de Experto de formación en el proyecto de ORAT. Algunas de las actividades relacionadas fueron:
• Revisión de la estructura organizativa existente, contratación, formación y planes de jubilación
• Revisión de amendas a los procedimientos operacionales estándares
• Calificaciones, experiencia y requisitos de formación para cada puesto de trabajo
• Proponer y discutir la organización objetivo
• Proponer un plan de contratación
• Proponer un plan de formación maestro</t>
  </si>
  <si>
    <t>ATRP Helipuerto HULP Modificado</t>
  </si>
  <si>
    <t>Asistenia Técnica para la modificación del Proyecto Constructivo del helipuerto del Hospital Universitario La Paz</t>
  </si>
  <si>
    <t>19.643,33 $</t>
  </si>
  <si>
    <t>Nuria Palacios, Mail: npalacios@salud.madrid.org</t>
  </si>
  <si>
    <t>Los servicios prestados fueron, principalmente, la redacción y desarrollo de los siguientes entregables:
• Memoria
• Planos
• Pliego de Prescripciones Técnicas
• Presupuesto</t>
  </si>
  <si>
    <t xml:space="preserve">El objeto del contrato fue la Asistencia Técnica para la modificación del Proyecto Constructivo del helipuerto del Hospital Universitario La Paz, de acuerdo con las actuaciones contempladas en el Plan Director, a fin de dar respuesta a las necesidades y encontrar una solución que unificara las necesidades del helipuerto y de los accesos del Hospital.
El alcance contempló las siguientes actuaciones:
• Adecuación de instalaciones existentes y proyectadas
• Revisión de servicios afectados
• Nueva marquesina metálica en zona oeste del punto limpio
• Reubicación de los compactadores, instalaciones y obra civil asociadas
• Pavimentación de la zona de acceso de ambulancias y cerramiento mediante muro y compuertas automáticas
• Techado de la zona de subida y bajada de pacientes mediante marquesina
• Ascensor de doble embarque </t>
  </si>
  <si>
    <t>Hubo una primera oferta aceptada en febrero de 2018, que ascendía a 9.765,00 €, y una segunda, firmada en abril de 2018, que ampliaba la primera, con un valor adicional de 5.155,00 €.</t>
  </si>
  <si>
    <t>ATRPDOCV CANARIAS L2</t>
  </si>
  <si>
    <t>ATRP Y ATDOCV Actuaciones Descentralizadas Zona Canarias-Fase II</t>
  </si>
  <si>
    <t>Zona Canarias</t>
  </si>
  <si>
    <t>2.720.200,20 $</t>
  </si>
  <si>
    <t>El objeto del Expediente fue la prestación de los servicios de ingeniería necesarios para la elaboración de informes de pre necesidades, redacción de proyectos o pliegos, direcciones de obra y control y vigilancia en los Aeropuertos de la red de Aena.</t>
  </si>
  <si>
    <t>Los servicios prestados en el caso de la redacción de proyectos fueron:
• Informes de pre necesidad
   - Descripción de la actuación
   - Valoración de los capítulos más
   importantes de la obra
   - Definición de los plazos de redacción de
   proyecto, plazos de ATDOCV y ejecución de
   obra asi como las fechas de inicio y fin
   - Identificación y definición básica de todos
   los expedientes asociados a una misma
   actuación
• Trabajos previos/estudio de alternativas
   - Recopilación de antecedentes
   - Toma de datos básicos y servicios
   afectados
   - Estudios previos/estudio alternativas
   - Estudio de incumplimientos
• Redacción del Proyecto Básico (Memoria, Anexos, Planos, Presupuesto)
   - Definición geométrica de las obras
   - Reposición de servidumbres y servicios
   afectados
   - Formulario de Análisis Medioambiental
   - Metodología para la determinación de
   coordenadas de puntos aeronáuticos
   - Aspectos objeto de aprobación por los
   organismos competentes
   - Presupuestos aproximados de las obras
   - Estudio de subvenciones, ayudas y
   deducciones fiscales aplicables
• Redacción del Proyecto Constructivo (Memoria, Anexos, Planos, Pliego de Prescripciones Técnicas y Presupuesto)
   - Información sobre los servicios afectados
   por la obra, incluyendo su reposición
   - Cumplimiento de la Normativa Técnica de
   aplicación
   - Información sobre las medidas estudiadas
   para mantener la operatividad del
   aeropuerto
   - Recoger las observaciones de los
   Organismos afectados recibidas hasta la
   recepción de los trabajos, tanto oficiales
   como internos de Aena
   - Desarrollo de todas las especificaciones
   expresadas en el anexo del Pliego
   "Definición de la obra a ejecutar"
   - Consideración de la Normativa y Plan
   Medioambiental específico del aeropuerto
• Replanteo previo sobre el terreno de la obra proyectada
• Plan de Aseguramiento de la Calidad
   - Fijar niveles de calidad
   - Establecer normas y métodos de
   aplicación
   - Poner en práctica y comprobar la
   aplicación y corrección de las normas
   establecidas
   - Verificar periódicamente el cumplimiento
   de los niveles de calidad prefijados
• Designación del Coordinador de Seguridad y Salud
   - Elaborar el Estudio de Seguridad y Salud
   - Posible coordinación de las previsiones
   relativas a la seguridad y salud en el
   trabajo
• Informes de revisión de proyectos
Los servicios prestados para la Asistencia Técnica de Control y Vigilancia fueron:
• Servicio de Dirección de Obra
   - Realizar la Dirección Facultativa de obras
   - Dar solución técnica a las incidencias y
   contingencias producidas en el desarrollo
   de la obra y consignar en el libro de
   órdenes las instrucciones precisas
   - Verificar el replanteo y la viabilidad del
   proyecto, y en el caso de edificación, la
   comprobación de la cimentación y
   estructura proyectada a la geotecnia
   - Suscribir el Acta de replanteo, el Acta de
   recepción y el certificado final de obra
   - Cumplimiento de la normativa de
   Seguridad y Salud
   - Velar por el cumplimiento de plazos
   parciales y total de ejecución
   - Control económico de la inversión
   detectando cualquier posible desviación
   presupuestaria, avisando y proponiendo
   medidas para su corrección al Director
   de obra
   - Impulsar y controlar el cumplimiento de
   los requisitos de calidad mediante la
   aprobación del Plan de Aseguramiento de
   la Calidad, revisando y aprobando los
   materiales, los procedimientos de
   ejecución, los subcontratistas, y la DFO
   - Impulsar y controlar el cumplimiento de
   los requisitos ambientales a través del Plan
   de Vigilancia Ambiental
   - Compatibilizar la ejecución de obra con la normal operación del aeropuerto
   - Impulsar y controlar la seguridad operativa
    de las obras mediante la aprobación del
   Plan de Vigilancia de Seguridad Operativa
• Servicio de dirección de ejecución
   - Asumir la función técnica de dirigir la
   ejecución material de la obra y de controlar
   cualitativa y cuantitativamente la obra
   y la calidad
   - Verificar la recepción en obra de los
   materiales y equipos de obra, ordenando la
   realización de ensayos y pruebas precisas
   - Dirigir la ejecución material de la obra
   comprobando los replanteos, materiales, 
   ejecución y disposición de los elementos
   constructivos y de instalaciones
   - Consignar en el Libro de Órdenes y
   Asistencias las instrucciones precisas
   - Suscribir el acta de replanteo o de
   comienzo de obra y el certificado final de
   obra, así como elaborar y suscribir las
   certificaciones parciales y la liquidación
   final de las unidades de obra
• Supervisión de la ejecución
   - Controles antes
   - Controles durante la ejecución de obra
   - Controles después de la ejecución
• Servicios de supervisión y control. Antes del inicio de la ejecución de obra
   - Análisis previo del proyecto objeto de
   supervisión, que incluyó el estudio de
   aquellas observaciones detectadas en la
   fase de evaluación de ofertas
   - Revisión del proyecto constructivo objeto
   del contrato, centrándose en bases de
   cálculo de elementos estructurales, cálculo
   de estructuras y cálculo de instalaciones,
   análisis de la estabilidad de desmontes y
   revisión de las hipótesis y cálculo de las
   cimentaciones, identificación en el proyecto
   de posibles errores u omisiones y propuesta
   de soluciones, coherencia entre planos,
   anejos y Pliego de Prescripciones Técnicas
   del proyecto, nivel de definición de las
   especificaciones sobre materiales, equipos,
   unidades de obra y partidas alzadas
   - Análisis exhaustivo del programa de
   trabajos con el resto de unidades del
   aeropuerto (operaciones, mantenimiento, 
   comercial, etc.)
   - Verificación de la disponibilidad de todos
   los terrenos precisos para el inicio de los
   trabajos
   - Análisis de afecciones a viales,
   instalaciones y otros servicios existentes
   - Análisis del proyecto desde el punto de
   vista medioambiental
• Servicios de supervisión y control. Trabajos durante la ejecución de las obras
   - Control geométrico de la obra, consistente
   en garantizar que los materiales, su
   instalación o puesta en obra y las unidades
   terminadas se ajustaban a las
   prescripciones técnicas del proyecto o a
   las modificaciones autorizadas, incluyendo
   los replanteos y comprobaciones
   necesarios
   - Control cualitativo de la obra, consistente
   en la medición de las diversas unidades de
   obra
   - Control cualitativo de la obra, cuyo objeto
   fue garantizar que los materiales, instalación
   , puesta en obra y unidades de obra
   terminadas, se ajustaran a las
   prescripciones técnicas del proyecto o
   modificaciones autorizadas. La realización
   del control comprendió la organización y
   ejecución de la toma de muestras de
   materiales y unidades de obra; la
   identificación, custodia y envío al
   laboratorio de muestras y la ejecución de
   ensayos, pruebas de funcionamiento o
   ensayos in situ
   - Vigilancia sistemática de los procesos de
   fabricación y puesta en obra de las
   distintas unidades para asegurar que la
   fabricación se ajustaba a las condiciones
   contractuales
• Servicios de supervisión y control. Trabajos finales
   - Valoración cualitativa y cuantitativa de la
   totalidad de las unidades ejecutadas de
   acuerdo al proyecto aprobado y aceptado
   en la recepción de obra
   - Redacción de informe final de todo el
   control y vigilancia realizado, del
   seguimiento del plan de obra y de los
   informes de resultados e incidencias
   - Elaboración de un informe para la
   conservación y mantenimiento de la obra
   ejecutada resumiendo las características de
   la obra, manuales de mantenimiento y
   operación, fichas técnicas, suministradores, 
   y toda la información de interés
   - Control de todas las pruebas finales de
   las instalaciones, comprobando los
   parámetros de diseño e incluyendo los
   protocolos de cada instalador
   - Gestión y obtención de los Certificados
   Oficiales relativos a la aprobación de todas
   las instalaciones por parte de los
   organismos nacionales, autonómicos y
   municipales
   - Acordar con el Director del Expediente el
   índice para la DFO y realización de un
   seguimiento y control de las entregas de
   dicha documentación
   - Redacción del informe final relativo a la
   coordinación de seguridad y salud
   - Redacción del informe final relativo al
   PVSO según la Instrucción Operativa EXA
   50
   - Realización de un informe de
   mantenimiento y conservación de la obra
   - Elaboración de un informe presupuestario
   sobre la medición final de las obras
   - Elaboración del acta de cumplimiento de
   las condiciones medioambientales de las
   obras
• Servicios para la familiarización y traslado de las nuevas instalaciones
   - Facilitación de la documentación
   necesaria para la elaboración por parte de
   Aena de la documentación para la
   impartición de la familiarización de los
   trabajadores del aeropuerto con las nuevas
   instalaciones
   - Aporte de la documentación necesaria
   para la elaboración de la documentación
   para la organización del traslado
   - Asesoramiento en la definición del plan
   logístico de traslado de medios humanos
   y materiales a las nuevas instalaciones
• Pruebas de Explotación
   - Revisión de las guías de Pruebas de
   Explotación
   - Prestación de servicio en las reuniones de
   preparación previa, últimos preparativos y
   análisis y conclusiones de cada sesión de
   pruebas de explotación
   - Asesoramiento en la preparación y
   desarrollo de las mismas dentro de lo
   concerniente a las obras del pliego
   - Aportación de soluciones y plazos para
   la resolución de las posibles anomalías o
   disfunciones detectadas en el transcurso de
   las pruebas de explotación
   - Realización del seguimiento de la
   resolución de las anomalías de acuerdo a
   las soluciones y plazos propuestos
   - Asistencia a las pruebas de explotación
   - Asesoramiento en la comprobación de la
   resolución de las anomalías detectadas
• Puesta en Explotación y periodo posterior a la Puesta en Explotación
   - Elaboración de un plan de seguimiento de
   la Puesta en Explotación y periodo posterior
   y la prestación de servicio de seguimiento
   - Actualización del plan de seguimiento
   en función de la marcha de las primeras
   horas de explotación de las instalaciones y
   del periodo post-Puesta en Explotación
   - Asistencia a todas las reuniones
   convocadas para la preparación y
   evaluación de la Puesta en Explotación y
   periodo post-Puesta en Explotación</t>
  </si>
  <si>
    <t>1.114.801,89 $</t>
  </si>
  <si>
    <t>Se llevó a cabo una suspensión temporal del expediente debido a la pandemia causada por el COVID-19. El expediente se reanudó en junio de 2020. También se produjeron dos ampliaciones de plazo, que entraron en vigor en marzo de 2021 y junio de 2022, respectivamente.</t>
  </si>
  <si>
    <t>AT Control ATRPDOCV</t>
  </si>
  <si>
    <t>Asesoría Técnica de Consultoría para la Gestión de Expedientes de Proyectos y Obras Descentralizados Fase II</t>
  </si>
  <si>
    <t>Febrero 2022</t>
  </si>
  <si>
    <t>538.055,60 $</t>
  </si>
  <si>
    <t>El objeto del expediente era realizar una gestión integral de cada actuación que se indicara por parte de la Dirección del Expediente desde el inicio hasta la ejecución final.</t>
  </si>
  <si>
    <t>Los servicios realizados por la UTE fueron:
• Gestión de expedientes de agrupaciones de ATRP y ATDOCV
   - Preparar, asistir y levantar acta de todas
   las reuniones mantenidas con la Dirección
   del Expediente
   - Preparar y remitir toda la documentación
   necesaria para la licitación/activación, inicio,
   finalización, liquidación y recepción de los
   pedidos correspondientes
   - Generar las plantillas adicionales a las
   disponibles en DPyC necesarias para el
   lanzamiento de cada pedido de ATRP+
   ATDOCV y actualizar el procedimiento de
   gestión de este expediente en caso
   necesario
   - Recepción de las solicitudes por parte de
   los aeropuertos
   - Revisar las solicitudes de redacción del
   proyecto, realizar una valorar económica
   desglosada y establecer una primera
   planificación del expediente
   - Preparar y remitir toda la documentación
   necesaria para la contratación/encargo del
   servicio de ATRP+ATDOCV, incluyendo
   correos de licitación, evaluación de ofertas
   económicas y evaluación de medios
   - Ser el contacto del aeropuerto para el
   seguimiento de la calidad del servicio
   prestado
   - Ser el contacto de las empresas que
   realizan la ATRP+ATDOCV en caso de
   incidencia en la prestación de servicios
   - Conocer los plazos de cada ATRP+
   ATDOCV para poder realizar un correcto
   seguimiento de la calidad
   - Realizar un seguimiento de los hitos de
   cada proyecto y cada obra
   - Preparar la documentación para la
   contratación/encargo de las revisiones de
   proyectos y realizar la gestión de estos
   expedientes
   - Realizar las tareas de Director Técnico de
   Proyecto y Director Técnico de la ATDOCV
   - Realizar informes de estado de los
   proyectos en redacción para su
   seguimiento
   - Realizar informes técnicos especializados
   puntuales
   - Elaboración de las planificaciones globales
   de todos los proyectos, controlarlas y
   seguirlas
   - Gestionar las incidencias detectadas por
   las empresas de los lotes y/o los
   aeropuertos y/o expedientes de agrupación
   - Actualizar y depositar la documentación
   tanto administrativa como técnica generada
   en cada pedido
   - Actualizar la información y documentación
   en la base de datos determinada
   - Controlar en todo momento la evolución de
   la actuación en cuanto a su solicitud,
   redacción del proyecto, contratación de la
   obra, certificación de la obra y
   presupuesto de la actuación
   - Solicitar a las ATRP-ATDOCV, antes del
   inicio de obra, los perfiles necesarios para
   formar el equipo de ATDOCV e informar al
   Director del Expediente para su aprobación
   - Preparar las relaciones valoradas y toda
   la documentación de los expedientes de
   agrupación
• Redacción de memoria descriptiva
• Dirección técnica de proyectos
   - Actuaciones iniciales
   - Reunión de inicio, planificación y alcance
   con todos los interesados
   - Hacer las visitas de toma de datos en el
   aeropuerto
   - Seguimiento continuo de los problemas
   técnicos de ejecución
   - Reuniones periódicas de seguimiento de
   los trabajos
   - Revisión de planificación de entregables
   en base a falta de documentación, nuevos
   alcances, respuestas a entregables, etc.
   - Revisión formal y técnica del entregable
   previa a su entrega oficial
   - Relación valorada para certificación
   - Envío de los entregables a interesados
   - Coordinar respuestas de interesados
   - Asistencia a reuniones de coordinación de
   la obra
   - Asistir a reuniones o contactos con el
   Director del Expediente de la obra
   para valorar la idoneidad de la solución
   técnica
• Dirección técnica de la ATDOCV
   - Apoyar y orientar al Director del
   Expediente de la obra en la gestión del
   ATDOCV durante todo el proceso de la
   obra, desde su inicio a la finalización
   - Revisar la correcta respuesta del ATDOCV
   frente a los servicios a realizar
   - Dirigir la ATDOCV según las indicaciones
   recibidas
   - Dar soporte al Director de Expediente de
   obra</t>
  </si>
  <si>
    <t>No, pero existe un Acta de Recepción y Liquidación Única, de mayo de 2022.</t>
  </si>
  <si>
    <t>La UTE estuvo formada por GOC S.A y AIRIA Ingeniería y Servicios, S.A.</t>
  </si>
  <si>
    <t>María Consolación Pérez Esteban, Directora General de Carreteras e Infraestructuras</t>
  </si>
  <si>
    <t>La realización del contrato comportaba la investigación, análisis, desarrollo, preparación y redacción de un Estudio que comprendía tanto el desarrollo de los aspectos jurídicos como económicos-financieros aplicables al Reequilibrio del Tramo I de la M-45.</t>
  </si>
  <si>
    <t>Los trabajos que iban a realizarse eran:
• Estudio de reequilibrio económico-financiero
   - Marco general del estudio
   - Disposiciones de los Pliegos, el contrato
   de concesión y la Resolución de reequilibrio
   de 25 de julio de 2002, análisis jurídico de
   las condiciones y mecanismos de
   aplicación
   - Análisis de los hechos relevantes
   acontecidos en el contrato de concesión
   que motivaban la necesidad del Estudio
   - Análisis de las Cuentas anuales de la
   Sociedad Concesionaria
   - Estudio del Reequilibrio. Datos de partida
   - Modelo de Reequilibrio con reducción de
   tarifa
   - Plan Económico financiero de reequilibrio
   - Conclusiones de los trabajos
• Informe a las alegaciones y pruebas que que presentara el interesado en el correspondiente expediente de reequilibrio</t>
  </si>
  <si>
    <t>43.523,20 $</t>
  </si>
  <si>
    <t>Se solicitó por parte de la Mesa de Contratación de la Consejería subsanación a cierta documentación. Sin embargo, no se subsanó correctamente dicha documentación, con lo que no se obtuvo el contrato.</t>
  </si>
  <si>
    <t>Control Obras Ayto Madrid</t>
  </si>
  <si>
    <t>Acuerdo Marco de Servicios para la Contratación Centralizada de Trabajos de Apoyo a la Ejecución de Obras en el Ayuntamiento de Madrid y sus Organismos Autónomos (4 Lotes)</t>
  </si>
  <si>
    <t>2.688.863,17 $</t>
  </si>
  <si>
    <t>Ayuntamiento de Madrid</t>
  </si>
  <si>
    <t>María del Mar Martínez de Vera, Presidenta de la Mesa de Contratación del Área de Gobierno de Economía y Hacienda</t>
  </si>
  <si>
    <t>El objeto del contrato fue la realización de servicios de coordinación en materia de Seguridad y Salud en las obras de construcción, demolición, ampliación, reforma, reparación y conservación de inmuebles, zonas verdes, y obras de renovación y acondicionamiento de pavimentos de vías y espacios públicos.</t>
  </si>
  <si>
    <t>Los trabajos realizados por la UTE fueron:
• Redacción de Estudios Básicos o estudios de Seguridad y Salud
• Elaboración de informes relativos a los Planes de Seguridad y Salud aportados por las empresas adjudicatarias de las obras
• Realización de las actividades de Coordinación en materia de Seguridad y Salud durante la ejecución de las obras
• Apoyo de un Técnico de Seguridad y Salud a la Coordinación de Seguridad y Salud, con una presencia diaria y continua en la obra</t>
  </si>
  <si>
    <t>Obstáculos AENA</t>
  </si>
  <si>
    <t>Asistencia Técnica para la determinación de obstáculos a las SLO y otras superficies y determinación de puntos de interés aeronáuticos en diez aeropuertos y modificación de estudios de obstáculos en varios aeropuertos</t>
  </si>
  <si>
    <t>128.909,20 $</t>
  </si>
  <si>
    <t>Belén Gómez Martínez, Directora del Expediente, Jefa de Departamento de Análisis y Control, Calle Peonías 12, 28042 Madrid, Mail: mbgomez@aena.es, Tlf. 91.321.10.90</t>
  </si>
  <si>
    <t>El objeto del expediente fue la determinación de coordenadas de un conjunto de puntos, respecto a los sistemas de referencia ETRS89 y ED50, en diez aeropuertos: Alicante, Tenerife Norte, Ibiza, Algeciras, El Hierro, Córdoba, Málaga, Granada, A Coruña y Santander, y la modificación de los Estudios de Obstáculos en varios aeropuertos, y la elaboración de los correspondientes Estudios de Obstáculos para uso y explotación de cada aeropuerto, y la realización de trabajos de campo y gabinete necesarios para la actualización anual de la información de obstáculos de 13 aeropuertos.</t>
  </si>
  <si>
    <t>Los servicios realizados por la UTE fueron:
• Determinación de puntos de interés aeronáutico del aeropuerto
• Determinación de obstáculos
La documentación a entregar correspondió a:
• Nota de recepción indicando la fecha de recepción del informe de levantamiento
• Memoria Técnica:
   - Breve guía para explotación del Estudio
   - Fecha del levantamiento topográfico
   - Objeto del servicio
   - Descripción de la configuración del
   aeropuerto
   - Descripción y parámetros de las
   Superficies de Evaluación de obstáculos
   particularizadas
   - Nombre de los topógrafos y empresa
   - Metodología e instrumentación empleada
   - Memoria descriptiva de la conexión con la
   RCTA
   - Descripción e informes de los MDT, MDS y
   cartografía en diferentes zonas
   - Desarrollo del procedimiento de
   señalización, observación, cálculo y
   compensación para la obtención de
   coordenación definitivas
   - Informe de los parámetros de
   transformación entre ETRS89 y ED50 y
   WGS84 utilizados, definición de los
   parámetros y su precisión
   - Resultados y errores obtenidos
   - Tabla comparativa de las coordenadas de
   los Puntos de Interés medidos
• Observaciones realizadas
• Listado de todas los observaciones
• Plano a escala 1/50000 o 1/25000
• Cartografía base en formato digital original
• Archivo DWG de maniobras
• Archivo PDF del AIP
• Archivo PDF con el "Procedimiento de circulación por el perimetral"
• Listado de cálculos y compensaciones
• Base de datos AIS
• Geodatabase
• Reseñas de puntos levantados
• Plano de situación de los puntos de interés
• Plano de situación de los puntos de la Red Topográfica
• Planos de obstáculos
• Archivos Ráster
• Procedimientos de Verificación de la calidad de los datos
• Informe de Control de Calidad realizado por una empresa independiente</t>
  </si>
  <si>
    <t>La UTE estuvo formada por Grupo VIARIUM y AIRIA Ingeniería y Servicios, S.A.. Se produjo una suspensión del expediente debido a la situación causada por el COVID-19, reanudándose en junio de 2020. También se produjo una ampliación de la fecha de finalización del contrato, firmada en mayo de 2021.</t>
  </si>
  <si>
    <t>SAFA 2020</t>
  </si>
  <si>
    <t>108.046,35 $</t>
  </si>
  <si>
    <t>Servicio Técnico de Control de Calidad de los puntos de atención al público de la Basílica de la Sagrada Familia</t>
  </si>
  <si>
    <t>El objeto del contrato fue la prestación del servicio de control de calidad de los puntos de atención al público de la Basílica de la Sagrada Familia y de la Casa Museu Gaudí.</t>
  </si>
  <si>
    <t>Las tareas que debían realizarse por parte de AIRIA fueron:
• Ejecución de oleadas Mystery Visitor
• Ejecución ensayos sobre procedimientos
• Generación de informes
   - Descripción de la muestra de la población
   analizada
   - Determinación de las variables relevantes
   - Tabulación de los datos
   - Criterios y pesos usados para las
   ponderaciones de los diferentes grupos y
   subgrupos analizados
   - Tratamiento estadístico de los datos
• Diseño del servicio a prestar
• Planificación y seguimiento de las actividades
• Gestión de la documentación elaborada</t>
  </si>
  <si>
    <t>El contrato quedó paralizado por la aparición del brote de coronavirus SARS-Cov-2. El contrato quedó finalmente resuelto en noviembre de 2020.</t>
  </si>
  <si>
    <t>Xavier Martinez, Director General, Junta Constructora del Temple Expiatori de la Sagrada Familia</t>
  </si>
  <si>
    <t>114.901,26 $</t>
  </si>
  <si>
    <t>El objeto del contrato fue la prestación del servicio de control, calidad y mejora de los niveles de seguridad de la Basílica de la Sagrada Familia y de la Casa Museu Gaudí.</t>
  </si>
  <si>
    <t>Las tareas que debían realizarse por parte de AIRIA fueron:
• Ejecución de ensayos
• Cálculo de indicadores de calidad
• Toma de datos y observaciones
• Actividades de seguimiento
• Ejecución de pruebas de sistemas
• Generación de informes mensuales de calidad de seguridad
• Generación de informes mensuales de rendimiento de operadores
• Generación de otros documentos e informes
• Generación de informes de pruebas de sistemas
• Diseño del servicio a prestar
• Planificación y seguimiento de las actividades
• Gestión de la documentación elaborada</t>
  </si>
  <si>
    <t>Obstáculos VLC</t>
  </si>
  <si>
    <t>Asistencia Técnica para el Control de Obstáculos en las SLO's del Aeropuerto de Valencia</t>
  </si>
  <si>
    <t>Febrero 2023</t>
  </si>
  <si>
    <t>37</t>
  </si>
  <si>
    <t>8.584,95 $</t>
  </si>
  <si>
    <t>25.754,86 $</t>
  </si>
  <si>
    <t>Adrián Albert Meliá, Director del Expediente, Técnico de Planificación y Gestión Estratégica, Carretera Aeropuerto s/n, 46940 Manises, Mail: aalbert@aena.es, Tlf. 961.598.485</t>
  </si>
  <si>
    <t>El objeto del contrato fue el control y vigilancia de obstáculos existentes y nuevos que pudieran aparecer en las áreas afectadas por las Superficies Limitadoras de Obstáculos (SLO).</t>
  </si>
  <si>
    <t>Principalmente, los servicios incluyeron el seguimiento y vigilancia de los obstáculos afectados por las SLO del Aeropuerto de Valencia. Se asistió en los siguientes aspectos:
• Realización de fotografías panorámicas desde cuatro puntos definidos en los procedimientos locales del aeropuerto, analizando la presencia de nuevos obstáculos
• Realización del registro, supervisión y revisión de todas las notificaciones relativas a nuevas construcciones solicitadas por particulares y organismos oficiales dentro del área de afección del aeropuerto de Valencia
• Redacción del informe final anual de los obstáculos exteriores al aeropuerto identificados y susceptibles de cambio, con descripción de los cambios detectados</t>
  </si>
  <si>
    <t>Hubo dos prórrogas del contrato: una en febrero de 2021 y la segunda en febrero de 2022.</t>
  </si>
  <si>
    <t>ATRPDOCV SUR L4</t>
  </si>
  <si>
    <t>ATRP y ATDOCV Actuaciones Descentralizadas en Aeropuertos Fase III</t>
  </si>
  <si>
    <t>Zona Sur</t>
  </si>
  <si>
    <t>1.675.643,32 $</t>
  </si>
  <si>
    <t>594.129,31 $</t>
  </si>
  <si>
    <t>Carmelo Paquez Martin, Director Técnico del Proyecto</t>
  </si>
  <si>
    <t>El objeto del expediente fue la prestación de los servicios de ingeniería necesarios para la elaboración de informes de pre necesidades, redacción de proyectos o pliegos, estudios técnicos, informe de ofertas, revisión de proyectos, direcciones de obra y control y vigilancia en los Aeropuertos de la red de Aena.</t>
  </si>
  <si>
    <t xml:space="preserve">Los servicios realizados en la fase de redacción de proyectos fueron:
• Informes de pre necesidad. Informes de descripción y valoración de las actuaciones a definir
   - Descripción de la actuación a realizar
   - Valoración de los capítulos más
   importantes de la obra
   - Definición de los plazos de redacción de
   proyecto, plazos de ATDOCV y ejecución de
   obra, así como fechas de inicio y fin
• Redacción del Proyecto Básico (Memoria, Anexos a la Memoria, Planos, Presupuesto
   - Definición geométrica de las obras
   - Reposición de servidumbres y servicios
   afectados
   - Formulario de Análisis Medioambiental
   - Metodología para la determinación de
   coordenadas de puntos aeronáuticos
   - Aspectos objeto de aprobación por los
   organismos competentes
   - Presupuestos aproximados de las obras
   - Estudio de subvenciones, ayudas y
   deducciones fiscales aplicables
• Redacción del Proyecto Constructivo
(Memoria, Anexos, Planos, Pliego de Prescripciones Técnicas y Presupuesto)
   - Información sobre los servicios afectados
   por la obra, incluyendo su reposición
   - Cumplimiento de la Normativa Técnica de
   aplicación
   - Información sobre las medidas estudiadas
   para mantener la operatividad del
   aeropuerto
   - Recoger las observaciones de los
   Organismos afectados recibidas hasta la
   recepción de los trabajos, tanto oficiales
   como internos de Aena
   - Desarrollo de todas las especificaciones
   expresadas en el anexo del Pliego
   "Definición de la obra a ejecutar"
   - Consideración de la Normativa y Plan
   Medioambiental específico del aeropuerto
• Preentación en Power Point del proyecto
• Informe justificativo de la modificación de la inversión
• Replanteo previo sobre el terreno de la obra proyectada
• Designación del Coordinador de Seguridad y Salud durante la elaboración del Proyecto
Los servicios realizados en la fase de ATDOCV fueron:
• Servicio de Dirección de Obra
   - Realizar la Dirección Facultativa de obras
   - Dar solución técnica a las incidencias y
   contingencias producidas en el desarrollo
   de la obra y consignar en el libro de
   órdenes las instrucciones precisas
   - Verificar el replanteo y la viabilidad del
   proyecto, y en el caso de edificación, la
   comprobación de la cimentación y
   estructura proyectada a la geotecnia
   - Suscribir el Acta de replanteo, el Acta de
   recepción y el certificado final de obra
   - Cumplimiento de la normativa de
   Seguridad y Salud
   - Velar por el cumplimiento de plazos
   parciales y total de ejecución
   - Control económico de la inversión
   detectando cualquier posible desviación
   presupuestaria, avisando y proponiendo
   medidas para su corrección al Director
   de obra
   - Impulsar y controlar el cumplimiento de
   los requisitos de calidad mediante la
   aprobación del Plan de Aseguramiento de
   la Calidad, revisando y aprobando los
   materiales, los procedimientos de
   ejecución, los subcontratistas, y la DFO
   - Impulsar y controlar el cumplimiento de
   los requisitos ambientales a través del Plan
   de Vigilancia Ambiental
   - Compatibilizar la ejecución de obra con la normal operación del aeropuerto
   - Impulsar y controlar la seguridad operativa
    de las obras mediante la aprobación del
   Plan de Vigilancia de Seguridad Operativa
• Servicio de dirección de ejecución
   - Asumir la función técnica de dirigir la
   ejecución material de la obra y de controlar
   cualitativa y cuantitativamente la obra
   y la calidad
   - Verificar la recepción en obra de los
   materiales y equipos de obra, ordenando la
   realización de ensayos y pruebas precisas
   - Dirigir la ejecución material de la obra
   comprobando los replanteos, materiales, 
   ejecución y disposición de los elementos
   constructivos y de instalaciones
   - Consignar en el Libro de Órdenes y
   Asistencias las instrucciones precisas
   - Suscribir el acta de replanteo o de
   comienzo de obra y el certificado final de
   obra, así como elaborar y suscribir las
   certificaciones parciales y la liquidación
   final de las unidades de obra
• Servicio de Coordinador de Seguridad y Salud
   - Estudio y aprobación del Plan de
   Seguridad y Salud
   - Coordinar la aplicación de los principios
   generales de prevención y de seguridad
   durante la ejecución de los distintos trabajos
   - Coordinar las actividades del expediente
   para garantizar que los contratistas,
   subcontratistas o autónomos aplicaban de
   manera coherente y responsable los
   principios de Prevención
   - Organizar la coordinación de actividades
   empresariales
   - Coordinar las acciones y funciones de
   control de la aplicación correcta de los
   métodos de trabajo
   - Adoptar las medidas necesarias para
   que sólo las personas autorizadas pudieran
   acceder a la obra
   - Disponer la paralización de parte de los
   trabajos, o en su caso de la totalidad de la
   obra cuando se observasen circunstancias
   de peligro grave o inminente para la
   seguridad y salud de los trabajadores
• Servicio de TASA
   - Revisar el Plan de Vigilancia de la
   Seguridad Operacional de las obras
   - Coordinar los trabajos con los actores
   necesarios de las obras
   - Supervisar los trabajos para garantizar
   que se mantenía el nivel de seguridad
   adecuado
   - Establecer y realizar un Programa de
   Inspecciones de las obras
   - Gestionar y resolver incidencias en las
   obras
   - Realizar un seguimiento de indicadores en
   las obras y comunicar los mismos
   - Coordinar la publicación de NOTAM, SUP,
   etc. en las obras
   - Realizar un seguimiento de no
   conformidades en las obras
• Supervisión de la ejecución
   - Controles antes
   - Controles durante la ejecución de obra
   - Controles después de la ejecución
• Servicios de supervisión y control. Antes del inicio de la ejecución de obra
   - Análisis previo del proyecto objeto de
   supervisión, que incluyó el estudio de
   aquellas observaciones detectadas en la
   fase de evaluación de ofertas
   - Revisión del proyecto constructivo objeto
   del contrato, centrándose en bases de
   cálculo de elementos estructurales, cálculo
   de estructuras y cálculo de instalaciones,
   análisis de la estabilidad de desmontes y
   revisión de las hipótesis y cálculo de las
   cimentaciones, identificación en el proyecto
   de posibles errores u omisiones y propuesta
   de soluciones, coherencia entre planos,
   anejos y Pliego de Prescripciones Técnicas
   del proyecto, nivel de definición de las
   especificaciones sobre materiales, equipos,
   unidades de obra y partidas alzadas
   - Análisis exhaustivo del programa de
   trabajos con el resto de unidades del
   aeropuerto (operaciones, mantenimiento, 
   comercial, etc.)
   - Verificación de la disponibilidad de todos
   los terrenos precisos para el inicio de los
   trabajos
   - Análisis de afecciones a viales,
   instalaciones y otros servicios existentes
   - Análisis del proyecto desde el punto de
   vista medioambiental
• Servicios de supervisión y control. Trabajos durante la ejecución de las obras
   - Control geométrico de la obra, consistente
   en garantizar que los materiales, su
   instalación o puesta en obra y las unidades
   terminadas se ajustaban a las
   prescripciones técnicas del proyecto o a
   las modificaciones autorizadas, incluyendo
   los replanteos y comprobaciones
   necesarios
   - Control cualitativo de la obra, consistente
   en la medición de las diversas unidades de
   obra
   - Control cualitativo de la obra, cuyo objeto
   fue garantizar que los materiales, instalación
   , puesta en obra y unidades de obra
   terminadas, se ajustaran a las
   prescripciones técnicas del proyecto o
   modificaciones autorizadas. La realización
   del control comprendió la organización y
   ejecución de la toma de muestras de
   materiales y unidades de obra; la
   identificación, custodia y envío al
   laboratorio de muestras y la ejecución de
   ensayos, pruebas de funcionamiento o
   ensayos in situ
   - Vigilancia sistemática de los procesos de
   fabricación y puesta en obra de las
   distintas unidades para asegurar que la
   fabricación se ajustaba a las condiciones
   contractuales
• Servicios de supervisión y control. Trabajos finales
   - Valoración cualitativa y cuantitativa de la
   totalidad de las unidades ejecutadas de
   acuerdo al proyecto aprobado y aceptado
   en la recepción de obra
   - Redacción de informe final de todo el
   control y vigilancia realizado, del
   seguimiento del plan de obra y de los
   informes de resultados e incidencias
   - Elaboración de un informe para la
   conservación y mantenimiento de la obra
   ejecutada resumiendo las características de
   la obra, manuales de mantenimiento y
   operación, fichas técnicas, suministradores, 
   y toda la información de interés
   - Control de todas las pruebas finales de
   las instalaciones, comprobando los
   parámetros de diseño e incluyendo los
   protocolos de cada instalador
   - Gestión y obtención de los Certificados
   Oficiales relativos a la aprobación de todas
   las instalaciones por parte de los
   organismos nacionales, autonómicos y
   municipales
   - Acordar con el Director del Expediente el
   índice para la DFO y realización de un
   seguimiento y control de las entregas de
   dicha documentación
   - Redacción del informe final relativo a la
   coordinación de seguridad y salud
   - Redacción del informe final relativo al
   PVSO según la Instrucción Operativa EXA
   50
   - Realización de un informe de
   mantenimiento y conservación de la obra
   - Elaboración de un informe presupuestario
   sobre la medición final de las obras
   - Elaboración del acta de cumplimiento de
   las condiciones medioambientales de las
   obras
• Servicios para la familiarización y traslado de las nuevas instalaciones
   - Facilitación de la documentación
   necesaria para la elaboración por parte de
   Aena de la documentación para la
   impartición de la familiarización de los
   trabajadores del aeropuerto con las nuevas
   instalaciones
   - Aporte de la documentación necesaria
   para la elaboración de la documentación
   para la organización del traslado
   - Asesoramiento en la definición del plan
   logístico de traslado de medios humanos
   y materiales a las nuevas instalaciones
• Pruebas de Explotación
   - Revisión de las guías de Pruebas de
   Explotación
   - Prestación de servicio en las reuniones de
   preparación previa, últimos preparativos y
   análisis y conclusiones de cada sesión de
   pruebas de explotación
   - Asesoramiento en la preparación y
   desarrollo de las mismas dentro de lo
   concerniente a las obras del pliego
   - Aportación de soluciones y plazos para
   la resolución de las posibles anomalías o
   disfunciones detectadas en el transcurso de
   las pruebas de explotación
   - Realización del seguimiento de la
   resolución de las anomalías de acuerdo a
   las soluciones y plazos propuestos
   - Asistencia a las pruebas de explotación
   - Asesoramiento en la comprobación de la
   resolución de las anomalías detectadas
• Puesta en Explotación y periodo posterior a la Puesta en Explotación
   - Elaboración de un plan de seguimiento de
   la Puesta en Explotación y periodo posterior
   y la prestación de servicio de seguimiento
   - Actualización del plan de seguimiento
   en función de la marcha de las primeras
   horas de explotación de las instalaciones y
   del periodo post-Puesta en Explotación
   - Asistencia a todas las reuniones
   convocadas para la preparación y
   evaluación de la Puesta en Explotación y
   periodo post-Puesta en Explotación
</t>
  </si>
  <si>
    <t>La UTE estuvo formado por GESNAER Consulting, S.L.N.E. y AIRIA Ingeniería y Servicios, S.A. Hubo una ampliación del contrato, firmada en enero de 2023.</t>
  </si>
  <si>
    <t>ATRP Campa Teruel</t>
  </si>
  <si>
    <t>Redacción Proyecto de la Ampliación de la Campa Provisional Zona Sur en el Aeropuerto de Teruel</t>
  </si>
  <si>
    <t>12.975,35 $</t>
  </si>
  <si>
    <t>Consorcio del Aeropuerto de Teruel</t>
  </si>
  <si>
    <t>Alejandro Ibrahim Perera, Gerente del Consorcio del Aeropuerto de Teruel, Polígono del Tiro, 4, 44396 Teruel, Mail: aibrahim@aeropuertodeteruel.com, Tlf. 978.617.742</t>
  </si>
  <si>
    <t>El proyecto objeto del contrato consistió en la ampliación de la campa provisional para el estacionamiento de aeronaves ubicada en la zona sur del Aeropuerto, completando de esta forma la campa provisional definida en la etapa 1 del proyecto de "Pavimentación de la Campa Fase IV".</t>
  </si>
  <si>
    <t>Los servicios realizados por AIRIA fueron:
• Redacción de Memoria
• Desarrollo de anejos, planos, pliegos de prescripciones técnicas y presupuesto desglosado y global
• Desarrollo de anejo topográfico incluyendo levantamiento específico de la zona de la obra y conexiones a los servicios, para el correcto cálculo de volumen de movimiento de tierras y levantamiento topográfico de las posibles zonas donde se iba a trasladar el material procedente de la excavación
• Desarrollo de anexo de drenaje, con solucion adoptada para el correcto drenaje y caanalización de las aguas pluviales en la zona de actuación
• Estudio de la afección a las Servidumbres Aeronáuticas del estacionamiento de aeronaves en las zonas proyectadas
• Estudio de Seguridad y Salud</t>
  </si>
  <si>
    <t>AT AEROCAS</t>
  </si>
  <si>
    <t>Asistencia Técnica en materia de Ingeniería para la Entidad Aeropuerto de Castellón S.L.</t>
  </si>
  <si>
    <t>57.109,41 $</t>
  </si>
  <si>
    <t>Blanca Marín Ferreiro, Directora General, Carretera CV-13 km 2,4, 12181 Benlloc</t>
  </si>
  <si>
    <t>El objeto del contrato fue la asistencia técnica al Gestor Aeroportuario para desarrollar las líneas de trabajo delimitadas por la Dirección de Operaciones y Mantenimiento del Aeropuerto.</t>
  </si>
  <si>
    <t>Las tareas de la asistencia técnica fueron:
• Organización de equipos
• Organización de trabajos
• Detección de las necesidades que provenían del mantenimiento de las instalaciones aeroportuarias
• Seguimiento de los mantenimientos preventivos, correctivos y de resolución de las incidencias
• Inicio de los expedientes necesarios para el mantenimiento de las instalaciones y preparación de los pliegos técnicos para las licitaciones de obra y servicios relacionadas con las instalaciones aeroportuarias
• Supervisión de la documentación de mantenimiento generada en base al manual de aeródromo
• Redacción de informes a petición de la Dirección de Operaciones y Mantenimiento</t>
  </si>
  <si>
    <t>Hubo una suspensión temporal del contrato, por un periodo de un mes, con el objetivo de sustituir al perfil asignado en la asistencia.</t>
  </si>
  <si>
    <t>ATRPDOCV ACC PMI</t>
  </si>
  <si>
    <t>A.T. Proyecto de Redacción, Vigilancia y Dirección Obra ACC Palma</t>
  </si>
  <si>
    <t>796.768,40 $</t>
  </si>
  <si>
    <t>Melsion Marti Mariano, Director del Expediente, Departamento Regional de Ingeniería de Explotación de Sistemas CNS, Dirección Región Balear, Aeropuerto, s/n, Palma de Mallorca, 07611 Illes Balears, Mail: mmarti@enaire.es, Tlf. 971.494.864</t>
  </si>
  <si>
    <t>El objeto del expediente fue la prestación de servicios de "Asistencia Técnica para la Redacción, Control y Vigilancia para el proyecto de ampliación y reforma del Centro de Control en el ACC de Palma de Mallorca". Necesarios para la ejecución de las obras previstas.</t>
  </si>
  <si>
    <t>Los servicios prestados por la UTE estuvieron divididos en dos etapas:
• Etapa 1. Redacción de proyectos y contratación
• Etapa 2. Control y vigilancia de las obras
Con respecto a la asistencia técnica para la toma de datos, los distintos servicios fueron:
• Recopilación de antecedentes
• Servicios afectados
• Estudios previos
Con respecto a la asistencia técnica para la elaboración de la propuesta arquitectónica, los servicios desarrollados fueron, principalmente, la redacción de una memoria descriptiva y constructiva de la solución propuesta y un estudio de viabilidad técnica y económica.
La asistencia técnica para la redacción del Proyecto Básico (Memoria, Anexos, Planos, Estudio de Seguridad operacional, Estudio básico de seguridad y salud, Presupuesto) incluyó:
• Definición geométrica de la obra. Esquemas eléctricos unifilares genéricos y en detalle
• Distribución de equipos
• Sistemas de climatización
• Modificaciones de las instalaciones auxiliares
• Estudio de servicios afectados y reposición de los mismos
• Proceso de transición de la actual instalación eléctrica a la del proyecto
• Análisis de cargas eléctricas, térmicas y electrostáticas
• Aspectos objeto de aprobación por los organismos o dependencias
• Presupuesto aproximado de la obra por capítulos
• Análisis de los requisitos de PRL contemplados
La asistencia técnica para la redacción del Proyecto de Ejecución (Memoria y anexos, Planos, Pliego de Prescripciones Técnicas, Presupuesto y mediciones) tuvo en cuenta la distinta reglamentación, los servicios y servidumbres afectadas por la obra, así como los distintos requisitos establecidos en el PPT.
La asistencia técnica para la fase de control y vigilancia de la obra conllevó la realización de distintos tipos de trabajos:
• Trabajos que precedían a la ejecución de las obras
• Trabajos durante la ejecución de las obras
• Trabajos durante las pruebas y correspondientes validaciones para la puesta en servicio de las instalaciones
• Trabajos documentales previos y posteriores a la recepción de las obras y entrega de las instalaciones a Mantenimiento
La asistencia técnica para el Seguimiento Presupuestario y de Programación englobó las siguientes tareas:
• Seguimiento individualizado y global de las obras e instalaciones en cuanto a plazos y presupuestos
• Desglose de los Proyectos y Planes de Obras propuesto por los Contratistas
• Medición de la Obra e Instalación ejecutada
• Seguimiento presupuestario durante la marcha de las obras e instalaciones
• Seguimiento del programa de las obras e instalaciones establecido en la licitación y sus modificaciones autorizadas
• Elaboración de informes de seguimiento de Suministros, Obra e Instalaciones
La asistencia técnica en materia de Seguridad y Salud durante la ejecución de obras estuvo relacionada con la coordinación de la aplicación de los principios generales de prevención de seguridad, coordinación de las actividades de la obra y mantenimiento para garantizar los principios de la acción preventiva, la coordinación de las acciones y funciones de control de la aplicación correcta de métodos de trabajo, la adopción de medidas para permitir sólo el paso de personas autorizadas, y el control de subcontataciones.
También se realizaron informes en las distintas fases, como el Plan de Aseguramiento de la Calidad o el Plan de Supervisión y control de las instalaciones.</t>
  </si>
  <si>
    <t>El contrato inicial tenía una duración prevista de 60 meses. Dicho contrato quedó liquidado en julio de 2024 por causas ajenas a la UTE (formada por PROMEC, S.A. y AIRIA Ingeniería y Servicios, S.A.)</t>
  </si>
  <si>
    <t>La empresa Instituto Técnico de Materialers y Construcciones, S.A. fue adjudicataria del contrato en febrero de 2017. Sin embargo, dicho contrato quedó cedido a AIRIA Ingeniería y Servicios, S.A. en agosto de 2020.</t>
  </si>
  <si>
    <t>Facturación MAD_23</t>
  </si>
  <si>
    <t>Servicio de Análisis, Tratamiento, Seguimiento y Control de Actuaciones en Áreas de Facturación, Tesorería, Tributos, Contratación y Gestión de Activos en Apto</t>
  </si>
  <si>
    <t>215.439,86 $</t>
  </si>
  <si>
    <t>Octubre 2025</t>
  </si>
  <si>
    <t>El objeto del contrato es la necesidad de realizar un análisis de aplicaciones, procedimientos e información que se obtiene de los sistemas que afectan a la facturación, contratación, gestión de activos, tratamiento de datos, seguimiento, control y presentación de tributos e impuestos locales.</t>
  </si>
  <si>
    <t>Las actuaciones a realizar se agrupan de la siguiente manera:
• Planificación y programación general
   - Planificación del calendario de servicio
   para cada una de las actividades objeto del
   pliego
   - Determinación del Coordinador de servicio
   de la empresa adjudicataria y presentación
   y aprobación del equipo
   - Aceptación de la metodología para los
   servicios a prestar, de acuerdo a lo
   establecido en las Normas del Aeropuerto
   - Definición de resultados
• Desarrollo de los servicios
   - Análisis mensual de la información
   generada en las áreas de facturación,
   tesorería, contratación, tributos, control
   económico y gestión de activos
   - Asesoramiento en la realización de
   modificación en procesos de áreas
   afectadas
   - Asesoramiento en la actualización de
   procedimientos empleados en las áreas
   afectadas
   - Gestión de carácter administrativo en las
   áreas afectadas</t>
  </si>
  <si>
    <t>Se ha producido una prórroga anual del contrato, firmada en octubre de 2024.</t>
  </si>
  <si>
    <t>Rover_Esp com T4-T4S</t>
  </si>
  <si>
    <t>ROVER-ALCISA</t>
  </si>
  <si>
    <t>Los puntos realizados por AIRIA fueron:
• Mantenimiento de la operatividad aeroportuaria.
• Seguridad Operacional.</t>
  </si>
  <si>
    <t>xxxxxxxxxxxxxxxxxxxJCD Mupis T4</t>
  </si>
  <si>
    <t>Servicios de Consultoría técnica en aviación, calidad o en training</t>
  </si>
  <si>
    <t>ATDOCV Aparcamientos (V)</t>
  </si>
  <si>
    <t>275.389,34 $</t>
  </si>
  <si>
    <t>El contrato fue adjudicado a VIARIUM, S.L.</t>
  </si>
  <si>
    <t>ATDOCV FILTRO IBIZA</t>
  </si>
  <si>
    <t>ATDOCV Reubicación de los Filtros de Seguridad. Aeropuerto de Ibiza</t>
  </si>
  <si>
    <t>66.528,21 $</t>
  </si>
  <si>
    <t>36.138,85 $</t>
  </si>
  <si>
    <t>El objeto del contrato fue la prestación de trabajos de ingeniería necesarios para la ejecución de las obras de reubicación de los filtros de seguridad del Edificio Terminal de pasajeros, en el Aeropuerto de Ibiza. El Lote 2 incluyó la Asistencia Técnica para la Dirección de Obra, Control y Vigilancia de las obras.</t>
  </si>
  <si>
    <t>Las funciones desarrolladas por AIRIA fueron:
• Servicio de dirección de obra
   - Realizar la Dirección Facultativa de obras
   - Dar solución técnica a las incidencias y
   contingencias producidas en el desarrollo
   de la obra y consignar en el libro de
   órdenes las instrucciones precisas
   - Verificar el replanteo y la viabilidad del
   proyecto, y en el caso de edificación, la
   comprobación de la cimentación y
   estructura proyectada a la geotecnia
   - Suscribir el Acta de replanteo, el Acta de
   recepción y el certificado final de obra
   - Cumplimiento de la normativa de
   Seguridad y Salud
   - Velar por el cumplimiento de plazos
   parciales y total de ejecución
   - Control económico de la inversión
   detectando cualquier posible desviación
   presupuestaria, avisando y proponiendo
   medidas para su corrección al Director
   de obra
   - Impulsar y controlar el cumplimiento de
   los requisitos de calidad mediante la
   aprobación del Plan de Aseguramiento de
   la Calidad, revisando y aprobando los
   materiales, los procedimientos de
   ejecución, los subcontratistas, y la DFO
   - Impulsar y controlar el cumplimiento de
   los requisitos ambientales a través del Plan
   de Vigilancia Ambiental
   - Compatibilizar la ejecución de obra con la normal operación del aeropuerto
   - Impulsar y controlar la seguridad operativa
    de las obras mediante la aprobación del
   Plan de Vigilancia de Seguridad Operativa
• Supervisión de la ejecución
   - Controles antes
   - Controles durante la ejecución de obra
   - Controles después de la ejecución
• Servicios de supervisión y control. Antes del inicio de la ejecución de obra
   - Análisis previo del proyecto objeto de
   supervisión, que incluyó el estudio de
   aquellas observaciones detectadas en la
   fase de evaluación de ofertas
   - Revisión del proyecto constructivo objeto
   del contrato, centrándose en bases de
   cálculo de elementos estructurales, cálculo
   de estructuras y cálculo de instalaciones,
   análisis de la estabilidad de desmontes y
   revisión de las hipótesis y cálculo de las
   cimentaciones, identificación en el proyecto
   de posibles errores u omisiones y propuesta
   de soluciones, coherencia entre planos,
   anejos y Pliego de Prescripciones Técnicas
   del proyecto, nivel de definición de las
   especificaciones sobre materiales, equipos,
   unidades de obra y partidas alzadas
   - Análisis exhaustivo del programa de
   trabajos con el resto de unidades del
   aeropuerto (operaciones, mantenimiento, 
   comercial, etc.)
   - Verificación de la disponibilidad de todos
   los terrenos precisos para el inicio de los
   trabajos
   - Análisis de afecciones a viales,
   instalaciones y otros servicios existentes
   - Análisis del proyecto desde el punto de
   vista medioambiental
• Servicios de supervisión y control. Trabajos durante la ejecución de las obras
   - Control geométrico de la obra, consistente
   en garantizar que los materiales, su
   instalación o puesta en obra y las unidades
   terminadas se ajustaban a las
   prescripciones técnicas del proyecto o a
   las modificaciones autorizadas, incluyendo
   los replanteos y comprobaciones
   necesarios
   - Control cualitativo de la obra, consistente
   en la medición de las diversas unidades de
   obra
   - Control cualitativo de la obra, cuyo objeto
   fue garantizar que los materiales, instalación
   , puesta en obra y unidades de obra
   terminadas, se ajustaran a las
   prescripciones técnicas del proyecto o
   modificaciones autorizadas. La realización
   del control comprendió la organización y
   ejecución de la toma de muestras de
   materiales y unidades de obra; la
   identificación, custodia y envío al
   laboratorio de muestras y la ejecución de
   ensayos, pruebas de funcionamiento o
   ensayos in situ
   - Vigilancia sistemática de los procesos de
   fabricación y puesta en obra de las
   distintas unidades para asegurar que la
   fabricación se ajustaba a las condiciones
   contractuales
• Servicios de supervisión y control. Trabajos finales
   - Valoración cualitativa y cuantitativa de la
   totalidad de las unidades ejecutadas de
   acuerdo al proyecto aprobado y aceptado
   en la recepción de obra
   - Redacción de informe final de todo el
   control y vigilancia realizado, del
   seguimiento del plan de obra y de los
   informes de resultados e incidencias
   - Elaboración de un informe para la
   conservación y mantenimiento de la obra
   ejecutada resumiendo las características de
   la obra, manuales de mantenimiento y
   operación, fichas técnicas, suministradores, 
   y toda la información de interés
   - Control de todas las pruebas finales de
   las instalaciones, comprobando los
   parámetros de diseño e incluyendo los
   protocolos de cada instalador
   - Gestión y obtención de los Certificados
   Oficiales relativos a la aprobación de todas
   las instalaciones por parte de los
   organismos nacionales, autonómicos y
   municipales
   - Acordar con el Director del Expediente el
   índice para la DFO y realización de un
   seguimiento y control de las entregas de
   dicha documentación
   - Redacción del informe final relativo a la
   coordinación de seguridad y salud
   - Redacción del informe final relativo al
   PVSO según la Instrucción Operativa EXA
   50
   - Realización de un informe de
   mantenimiento y conservación de la obra
   - Elaboración de un informe presupuestario
   sobre la medición final de las obras
   - Elaboración del acta de cumplimiento de
   las condiciones medioambientales de las
   obras
• Servicios para la familiarización y traslado de las nuevas instalaciones
   - Facilitación de la documentación
   necesaria para la elaboración por parte de
   Aena de la documentación para la
   impartición de la familiarización de los
   trabajadores del aeropuerto con las nuevas
   instalaciones
   - Aporte de la documentación necesaria
   para la elaboración de la documentación
   para la organización del traslado
   - Asesoramiento en la definición del plan
   logístico de traslado de medios humanos
   y materiales a las nuevas instalaciones
• Pruebas de Explotación
   - Revisión de las guías de Pruebas de
   Explotación
   - Prestación de servicio en las reuniones de
   preparación previa, últimos preparativos y
   análisis y conclusiones de cada sesión de
   pruebas de explotación
   - Asesoramiento en la preparación y
   desarrollo de las mismas dentro de lo
   concerniente a las obras del pliego
   - Aportación de soluciones y plazos para
   la resolución de las posibles anomalías o
   disfunciones detectadas en el transcurso de
   las pruebas de explotación
   - Realización del seguimiento de la
   resolución de las anomalías de acuerdo a
   las soluciones y plazos propuestos
   - Asistencia a las pruebas de explotación
   - Asesoramiento en la comprobación de la
   resolución de las anomalías detectadas
• Puesta en Explotación y periodo posterior a la Puesta en Explotación
   - Elaboración de un plan de seguimiento de
   la Puesta en Explotación y periodo posterior
   y la prestación de servicio de seguimiento
   - Actualización del plan de seguimiento
   en función de la marcha de las primeras
   horas de explotación de las instalaciones y
   del periodo post-Puesta en Explotación
   - Asistencia a todas las reuniones
   convocadas para la preparación y
   evaluación de la Puesta en Explotación y
   periodo post-Puesta en Explotación</t>
  </si>
  <si>
    <t>No, pero existe un Acta de Recepción y Liquidación Única.</t>
  </si>
  <si>
    <t>La UTE estuvo formada por GOC S.A y AIRIA Ingeniería y Servicios, S.A. Los trabajos debían haber empezado en junio de 2017 pero no fue posible debido a restricciones oeprativas del aeropuerto.</t>
  </si>
  <si>
    <t>Quito Quiport</t>
  </si>
  <si>
    <t>Diseño de la Nueva Plataforma de Carga - Fase IIB Plan Maestro</t>
  </si>
  <si>
    <t>18.400,00 $</t>
  </si>
  <si>
    <t>Ecuatest Compañía Limitada</t>
  </si>
  <si>
    <t>Sergio Enrique Páez, Gerente - Ecuador, Mail: spaezb@ecuanor.com, Tlf. 593.2 6017.985</t>
  </si>
  <si>
    <t>Las tareas desarrolladas fueron:
• Diseño de drenaje
• Diseño de infraestructura civil para instalaciones eléctricas
• Diseño eléctrico: balizaje lumínico y sistema de tierra
• Diseño de señalización
• Estudio de interferencias
• Bases técnicas de señalización</t>
  </si>
  <si>
    <t>El alcance del contrato fue la aplicación de conceptos de ingeniería en la Ampliación de la Plataforma de Carga, calle de rodaje Bravo y pavimentación del área verde junto al estacionamiento de carga nacional, así como el conector entre calles de rodaje Alfa y Bravo.</t>
  </si>
  <si>
    <t>Hay un borrador de CBE hecho pero sin estar firmado por el cliente.</t>
  </si>
  <si>
    <t>5.820,00 $</t>
  </si>
  <si>
    <t>Simulación de la ampliación de calle Bravo</t>
  </si>
  <si>
    <t>El alcance del contrato fue la realización de simulaciones relativas a la ampliación de la calle de rodaje Bravo.</t>
  </si>
  <si>
    <t>Las tareas desarrolladas fueron:
• Simulación mediante el software AviPlan del trazado de la ampliación de la calle de rodaje Bravo, incluyendo el desplazamiento del eje de calle de existente en plataforma de carga, accesos y salidas de puestos de estacionamiento, giros y sobreanchos en los cruces con las calles de conexión con la calle Alfa y validación de la solución geométrica en planta
• Análisis de la afección a la operatividad aeroportuaria y la seguridad operacional durante la ejecución de las obras, definición de medidas preventivas y mitigadoras</t>
  </si>
  <si>
    <t>16.240,00 $</t>
  </si>
  <si>
    <t>Ampliación de plataforma comercial Norte. Aeropuerto de Quito</t>
  </si>
  <si>
    <t>El objeto del contrato fue la realización de tareas relacionadas con la Ampliación de la plataforma comercial Norte en el Aeropuerto de Quito.</t>
  </si>
  <si>
    <t>Las tareas realizadas fueron:
• Simulación mediante el software AviPlan Airside de los nuevos puestos de estacionamiento, incluyendo comprobación de márgenes de seguridad según normativa, accesos y salidas de puestos de estacionamiento, jet blast y validación de la solución geométrica en planta
• Elaboración de bases técnicas para las instalaciones de balizamiento de la ampliación de plataforma y calle de acceso a puesto y las torres de iluminación de los nuevos puestos de estacionamiento, con cálculos eléctricos y lumínicos, obra civil y detalles constructivos</t>
  </si>
  <si>
    <t>2.100,00 $</t>
  </si>
  <si>
    <t>La principal tarea realizada fue el análisis de la afección a la operatividad aeroportuaria y la seguridad operacional durante la ejecución de las obras, definición de medidas preventivas y mitigadoras.</t>
  </si>
  <si>
    <t>ATRP Comercial MAD GHESA</t>
  </si>
  <si>
    <t>Asistencia en el desarrollo del expediente "A.T. Diseño Oferta Comercial para Actuaciones de Remodelación Zonas Comerciales T4 y T4S"</t>
  </si>
  <si>
    <t>4.519,87 $</t>
  </si>
  <si>
    <t>Jacint Peiris Pagès, Departamento Infraestructuras y Aeropuertos, Calle Magallanes 1, 1ª Planta, 28015 Madrid, Mail: aep@ghesa.es,  Tlf. 91.309.80.00</t>
  </si>
  <si>
    <t>El contrato estuvo relacionado con la proporción de asistencia aeronáutica en el desarrollo del expediente DSC 585/17 "A.T. Diseño Oferta Comercial para Actuaciones de Remodelación Zonas Comerciales T4 y T4S".</t>
  </si>
  <si>
    <t>Las tareas realizadas fueron:
• Asesoramiento aeronáutico por Ingeniero Técnico Aeronáutico
   - Asistencia a reuniones de proyecto
   - Representación aeronáutica ante AENA
   - Asesoramiento y colaboración para la
   elaboración de la documentación en
   materia aeronáutica necesaria para el
   desarrollo del proyecto
• Autoría de proyecto</t>
  </si>
  <si>
    <t>AATTDOCV MAD TYPSA</t>
  </si>
  <si>
    <t>ATDOCV Instalación de balizamiento de eje en calle de rodaje I12. Aeropuerto Adolfo Suárez Madird-Barajas</t>
  </si>
  <si>
    <t>23.387,65 $</t>
  </si>
  <si>
    <t>TYPSA</t>
  </si>
  <si>
    <t>Miguel Varas de Dios, Director de División de Aeropuertos, Calle Gomera, 9, 28703 San Sebastián de los Reyes, Mail: mvaras@typsa.es, Tlf. 91.722.73.00</t>
  </si>
  <si>
    <t>El objeto del contrato fue el desarrollo de la asistencia técnica de Dirección de Obra, Control y Vigilancia de distintos expedientes en el Aeropuerto Adolfo Suárez Madrid-Barajas.</t>
  </si>
  <si>
    <t>Las tareas realizadas por AIRIA fueron:
• Realización de tareas de Dirección de Obra
• Realización de tareas de Coordinación de Seguridad y Salud
• Realización de tareas de TASA
• Realización de tareas de Vigilancia de obra
• Realización de tareas de topografía
• Desarrollo de documentación final de obra</t>
  </si>
  <si>
    <t>ATDOCV Limpieza antiguo Plan Barajas. Aeropuerto Adolfo Suárez Madrid-Barajas</t>
  </si>
  <si>
    <t>6.177,83 $</t>
  </si>
  <si>
    <t>ATDOCV Regeneración de pavimento y subsanación de incumplimientos de señalización en calles de rodaje M7 y M12. Aeropuerto Adolfo Suárez Madrid-Barajas</t>
  </si>
  <si>
    <t>32.461,21 $</t>
  </si>
  <si>
    <t>ATRP TYPSA (CANCELADO)</t>
  </si>
  <si>
    <t>Remodelación Bases Señaleros. Aeropuerto Adolfo Suárez Madrid-Barajas</t>
  </si>
  <si>
    <t>4</t>
  </si>
  <si>
    <t>22.599,36 $</t>
  </si>
  <si>
    <t>Esteban Grañeda Delgado, División de Aeropuertos, Calle Gomera, 9, 28703 San Sebastián de los Reyes, Mail: egraneda@typsa.es, Tlf. 689.61.77.67</t>
  </si>
  <si>
    <t>El objeto del contrato consistía en la realización de la Asistencia Técnica de Redacción de Proyecto respecto al expediente "Remodelación Bases Señaleros. Aeropuerto Adolfo Suárez Madrid-Barajas".</t>
  </si>
  <si>
    <t>Las tareas que iban a ser realizadas por AIRIA fueron:
• Redacción de Proyecto Básico
• Redacción de Proyecto Constructivo Provisional y Proyecto Constructivo Definitivo</t>
  </si>
  <si>
    <t>No se llegó a realizar el PEM</t>
  </si>
  <si>
    <t>Debido a las nuevas condiciones impuestas por la aparición del COVID19, el proyecto fue realizado directamente por TYPSA, cancelándose el contrato.</t>
  </si>
  <si>
    <t>ATDOCV TYPSA Tub. Clima MAD</t>
  </si>
  <si>
    <t>ATDOCV Sustitución de tuberías de agua en las instalaciones de climatización T123. Aeropuerto Adolfo Suárez Madrid-Barajas</t>
  </si>
  <si>
    <t>53.808,00 $</t>
  </si>
  <si>
    <t>El alcance del contrato fue el desarrollo de la Asistencia Técnica de Dirección de Obra, Control y Vigilancia del expediente descrito.</t>
  </si>
  <si>
    <t>Las tareas realizadas por AIRIA fueron:
• Realización de tareas de Dirección de Obra
• Realización de tareas de Coordinación de Seguridad y Salud
• Realización de tareas de TASA
• Realización de tareas de especialista
• Desarrollo de Documentación Final de Obra</t>
  </si>
  <si>
    <t>ATDOCV TYPSA PCI T4</t>
  </si>
  <si>
    <t>ATDOCV TYPSA PAVTO. EPAS T4</t>
  </si>
  <si>
    <t>ATDOCV Adecuación de instalaciones PCI en P4. Aeropuerto Adolfo Suárez Madrid-Barajas</t>
  </si>
  <si>
    <t>24.213,60 $</t>
  </si>
  <si>
    <t>Las tareas desarrolladas por AIRIA fueron:
• Realización de tareas de Dirección de Obra
• Realización de tareas de Coordinación de Seguridad y Salud
• Realización de tareas TASA
• Realización de tareas de especialista
• Redacción de Documentación Final de Obra</t>
  </si>
  <si>
    <t>ATDOCV Renovación de pavimento en áreas de de equipos de la Terminal T4. Aeropuerto Adolfo Suárez Madrid-Barajas</t>
  </si>
  <si>
    <t>35.513,28 $</t>
  </si>
  <si>
    <t>Las tareas desarrolladas por AIRIA fueron:
• Realización de tareas de Dirección de Obra
• Realización de tareas de Coordinación de Seguridad y Salud
• Realización de tareas TASA
• Realización de tareas de vigilancia de obra
• Redacción de Documentación Final de Obra</t>
  </si>
  <si>
    <t>Honduras</t>
  </si>
  <si>
    <t>Palmerola</t>
  </si>
  <si>
    <t>Noviembre 2022</t>
  </si>
  <si>
    <t>209.334,13 $</t>
  </si>
  <si>
    <t>Miguel Ángel Mirones Morales, Business Development Manager, Calle Magallanes, 3, 4ª Planta, 28015 Madrid, Mail: mamirones@empre.es, Tlf. 91.309.81.15</t>
  </si>
  <si>
    <t>El objeto del contrato fue la prestación de servicios, según el alcance, términos y condiciones establecidos en el Documento Base de Concurso con Recursos del Programa de Conversión de Deuda de Honduras frente a España-Fase II.</t>
  </si>
  <si>
    <t>Los servicios realizados en la fase de ATDOCV fueron:
• Servicio de Dirección de Obra
   - Realizar la Dirección Facultativa de obras
   - Dar solución técnica a las incidencias y
   contingencias producidas en el desarrollo
   de la obra y consignar en el libro de
   órdenes las instrucciones precisas
   - Verificar el replanteo y la viabilidad del
   proyecto, y en el caso de edificación, la
   comprobación de la cimentación y
   estructura proyectada a la geotecnia
   - Suscribir el Acta de replanteo, el Acta de
   recepción y el certificado final de obra
   - Cumplimiento de la normativa de
   Seguridad y Salud
   - Velar por el cumplimiento de plazos
   parciales y total de ejecución
   - Control económico de la inversión
   detectando cualquier posible desviación
   presupuestaria, avisando y proponiendo
   medidas para su corrección al Director
   de obra
   - Impulsar y controlar el cumplimiento de
   los requisitos de calidad mediante la
   aprobación del Plan de Aseguramiento de
   la Calidad, revisando y aprobando los
   materiales, los procedimientos de
   ejecución, los subcontratistas, y la DFO
   - Impulsar y controlar el cumplimiento de
   los requisitos ambientales a través del Plan
   de Vigilancia Ambiental
   - Compatibilizar la ejecución de obra con la normal operación del aeropuerto
   - Impulsar y controlar la seguridad operativa
    de las obras mediante la aprobación del
   Plan de Vigilancia de Seguridad Operativa
• Supervisión de la ejecución
   - Controles antes
   - Controles durante la ejecución de obra
   - Controles después de la ejecución
• Servicios de supervisión y control. Antes del inicio de la ejecución de obra
   - Análisis previo del proyecto objeto de
   supervisión, que incluyó el estudio de
   aquellas observaciones detectadas en la
   fase de evaluación de ofertas
   - Revisión del proyecto constructivo objeto
   del contrato, centrándose en bases de
   cálculo de elementos estructurales, cálculo
   de estructuras y cálculo de instalaciones,
   análisis de la estabilidad de desmontes y
   revisión de las hipótesis y cálculo de las
   cimentaciones, identificación en el proyecto
   de posibles errores u omisiones y propuesta
   de soluciones, coherencia entre planos,
   anejos y Pliego de Prescripciones Técnicas
   del proyecto, nivel de definición de las
   especificaciones sobre materiales, equipos,
   unidades de obra y partidas alzadas
   - Análisis exhaustivo del programa de
   trabajos con el resto de unidades del
   aeropuerto (operaciones, mantenimiento, 
   comercial, etc.)
   - Verificación de la disponibilidad de todos
   los terrenos precisos para el inicio de los
   trabajos
   - Análisis de afecciones a viales,
   instalaciones y otros servicios existentes
   - Análisis del proyecto desde el punto de
   vista medioambiental
• Servicios de supervisión y control. Trabajos durante la ejecución de las obras
   - Control geométrico de la obra, consistente
   en garantizar que los materiales, su
   instalación o puesta en obra y las unidades
   terminadas se ajustaban a las
   prescripciones técnicas del proyecto o a
   las modificaciones autorizadas, incluyendo
   los replanteos y comprobaciones
   necesarios
   - Control cualitativo de la obra, consistente
   en la medición de las diversas unidades de
   obra
   - Control cualitativo de la obra, cuyo objeto
   fue garantizar que los materiales, instalación
   , puesta en obra y unidades de obra
   terminadas, se ajustaran a las
   prescripciones técnicas del proyecto o
   modificaciones autorizadas. La realización
   del control comprendió la organización y
   ejecución de la toma de muestras de
   materiales y unidades de obra; la
   identificación, custodia y envío al
   laboratorio de muestras y la ejecución de
   ensayos, pruebas de funcionamiento o
   ensayos in situ
   - Vigilancia sistemática de los procesos de
   fabricación y puesta en obra de las
   distintas unidades para asegurar que la
   fabricación se ajustaba a las condiciones
   contractuales
• Servicios de supervisión y control. Trabajos finales
   - Valoración cualitativa y cuantitativa de la
   totalidad de las unidades ejecutadas de
   acuerdo al proyecto aprobado y aceptado
   en la recepción de obra
   - Redacción de informe final de todo el
   control y vigilancia realizado, del
   seguimiento del plan de obra y de los
   informes de resultados e incidencias
   - Elaboración de un informe para la
   conservación y mantenimiento de la obra
   ejecutada resumiendo las características de
   la obra, manuales de mantenimiento y
   operación, fichas técnicas, suministradores, 
   y toda la información de interés
   - Control de todas las pruebas finales de
   las instalaciones, comprobando los
   parámetros de diseño e incluyendo los
   protocolos de cada instalador
   - Gestión y obtención de los Certificados
   Oficiales relativos a la aprobación de todas
   las instalaciones por parte de los
   organismos nacionales, autonómicos y
   municipales
   - Acordar con el Director del Expediente el
   índice para la DFO y realización de un
   seguimiento y control de las entregas de
   dicha documentación
   - Redacción del informe final relativo a la
   coordinación de seguridad y salud
   - Redacción del informe final relativo al
   PVSO según la Instrucción Operativa EXA
   50
   - Realización de un informe de
   mantenimiento y conservación de la obra
   - Elaboración de un informe presupuestario
   sobre la medición final de las obras
   - Elaboración del acta de cumplimiento de
   las condiciones medioambientales de las
   obras
• Pruebas de Explotación
   - Revisión de las guías de Pruebas de
   Explotación
   - Prestación de servicio en las reuniones de
   preparación previa, últimos preparativos y
   análisis y conclusiones de cada sesión de
   pruebas de explotación
   - Asesoramiento en la preparación y
   desarrollo de las mismas dentro de lo
   concerniente a las obras del pliego
   - Aportación de soluciones y plazos para
   la resolución de las posibles anomalías o
   disfunciones detectadas en el transcurso de
   las pruebas de explotación
   - Realización del seguimiento de la
   resolución de las anomalías de acuerdo a
   las soluciones y plazos propuestos
   - Asistencia a las pruebas de explotación
   - Asesoramiento en la comprobación de la
   resolución de las anomalías detectadas
• Puesta en Explotación y periodo posterior a la Puesta en Explotación
   - Elaboración de un plan de seguimiento de
   la Puesta en Explotación y periodo posterior
   y la prestación de servicio de seguimiento
   - Actualización del plan de seguimiento
   en función de la marcha de las primeras
   horas de explotación de las instalaciones y
   del periodo post-Puesta en Explotación
   - Asistencia a todas las reuniones
   convocadas para la preparación y
   evaluación de la Puesta en Explotación y
   periodo post-Puesta en Explotación</t>
  </si>
  <si>
    <t>Se produjeron dos adendas al contrato en relación all presupuesto total.</t>
  </si>
  <si>
    <t>ATDOCV TYPSA Cauces</t>
  </si>
  <si>
    <t>ATDOCV Nueva limpieza cauces arroyos. Aeropuerto Adolfo Suárez Madrid-Barajas</t>
  </si>
  <si>
    <t>17.218,56 $</t>
  </si>
  <si>
    <t>El objeto del contrato fue el desarrollo de la Asistencia técnica de Dirección de Obra, Control y Vigilancia del expediente descrito (DIN 507/17).</t>
  </si>
  <si>
    <t>Los trabajos realizados por AIRIA fueron:
• Realización de tareas de Dirección de Obra
• Realización de tareas de Coordinación de Seguridad y Salud
• Realización de tareas de TASA
• Realización de tareas de vigilancia de obra
• Desarrollo de Documentación Final de Obra</t>
  </si>
  <si>
    <t>ORAT TFS</t>
  </si>
  <si>
    <t>EAS Servidumbres AGP</t>
  </si>
  <si>
    <t>Análisis MA GUAD</t>
  </si>
  <si>
    <t>Exterior Plus BCN vinilos</t>
  </si>
  <si>
    <t>CGA MAD</t>
  </si>
  <si>
    <t>Sup madsalud Cmontesa</t>
  </si>
  <si>
    <t>Ext Plus BCN LED taxis</t>
  </si>
  <si>
    <t>PM ACE</t>
  </si>
  <si>
    <t>Jeddah</t>
  </si>
  <si>
    <t>PM TFN</t>
  </si>
  <si>
    <t>SIEPSE GC Fonsagrada</t>
  </si>
  <si>
    <t>EXTPLUS PO-13</t>
  </si>
  <si>
    <t>EXTPLUS RSO T4</t>
  </si>
  <si>
    <t>SIEPSE Alcalá</t>
  </si>
  <si>
    <t>EXTPLUS PVSO T4</t>
  </si>
  <si>
    <t>ATCV Obras Privativas II</t>
  </si>
  <si>
    <t>Apoyo FQ-ENAIRE II</t>
  </si>
  <si>
    <t>Aviplan Cuzco</t>
  </si>
  <si>
    <t>EXTPLUS MAD Tijera</t>
  </si>
  <si>
    <t>ENCUESTAS APM 2024</t>
  </si>
  <si>
    <t>PM EXTPLUS BCN</t>
  </si>
  <si>
    <t>Mtto SMP 2024</t>
  </si>
  <si>
    <t>Visit PM BCN EXTPLUS</t>
  </si>
  <si>
    <t>Helipuerto H Valdecilla</t>
  </si>
  <si>
    <t>RSO MAD T4 EXTPLUS</t>
  </si>
  <si>
    <t>ATDO Centro Mayores</t>
  </si>
  <si>
    <t>ATRPCV ACC Baleares</t>
  </si>
  <si>
    <t>Vuelos turísticos CAM</t>
  </si>
  <si>
    <t>AIRIA: 1.536.187,06 €
GESNAER: 1.754.572,67 €
Total: 3.290.759,73 €</t>
  </si>
  <si>
    <t>Redacción de proyecto técnico para elementos publicitarios en el Aeropuerto Josep Tarradellas Barcelona-El Prat</t>
  </si>
  <si>
    <t>Febrero 2024</t>
  </si>
  <si>
    <t>2.267,62 $</t>
  </si>
  <si>
    <t>Raquel Samino García, Avenida Pirineos, 7-3ª Izquierda, San Sebastián de los Reyes, 28703 Madrid, Mail: rsamino@exteriorplus.es, Tlf. 91.623.82.07</t>
  </si>
  <si>
    <t>El objeto del contrato fue la realización de un proyecto técnico de instalación de vinilos sobre lamas de vidrio en torres de fingers en el Aeropuerto Josep Tarradellas Barcelona-El Prat.</t>
  </si>
  <si>
    <t>Servicio para la Gestión del Ciclo de Vida e Integración CGA del Aeropuerto Adolfo Suárez Madrid-Barajas</t>
  </si>
  <si>
    <t>240.810,33 $</t>
  </si>
  <si>
    <t>120.405,17 $</t>
  </si>
  <si>
    <t>Soledad Mora García, Director del Expediente</t>
  </si>
  <si>
    <t>La prestación del servicio incluye la ejecución de las actividades que garanticen el correcto funcionamiento, la integración y la evolución de los sistemas actuales y herramientas del Centro de Gestión Aeroportuaria (CGA) del Aeropuerto Adolfo Suárez Madrid-Barajas.</t>
  </si>
  <si>
    <t>Las tareas en desarrollo están clasificadas según distintas áreas de servicio.
• Área de Dirección de Proyecto
   - Control y seguimiento del contrato
   - Coordinación de las actividades de los
   medios humanos y materiales
• Área de Negocio del CGA
   - Diseño e implantación de mejoras en la
   operativa del CGA (análisis de la operativa, 
   detección de problemas y buenas
   prácticas, propuesta de mejoras, diseño de
   las propuestas aprobadas e implantación)
   - Diseño e implantación de nuevos
   servicios en el CGA
   - Control de sistemas y herramientas del
   CGA (administración de usuarios,
   actualización de parámetros de las
   aplicaciones, generación de procedimientos
   automáticos para su ejecución, generación
   de formularios para facilitar la recogida de
   datos, coordinación con la Asistencia
   Técnica del Contact Center, detección de
   necesidades para la evolución de estas
   aplicaciones)
   - Servicio de actualización del Plan de
   Formación para los agentes del CGA y
   coordinación de acciones formativas
• Área de Infraestructuras y Sistemas del CGA
   - Control de Incidencias Técnicas y de
   Servicios del CGA
   - Coordinación de Instalaciones y
   Modificaciones en CGA
   - Diseño de Mejoras Técnicas y de Servicio
   del CGA
   - Catálogo de las Infraestructuras y
   Sistemas de Contingencia del CGA
   - Mantenimiento y Gestión del Sistema
   Automático de Llamdas de Avisos y
   Alarmas
   - Desarrollo de la Memoria sobre
   Innovación Tecnológica y Operativa en el
   Ámbito de la Producción de Servicios en
   Tiempo Real
• Área de Diseño, Integración y Especificación Funcional de Sistemas en CGA
   - Definición de Nuevas Interfaces, Diseño y
   Especificación Funcional para la Integración
   de Sistemas en el CGA
   - Especificación Funcional y Diseño de los
   Sistemas del CGA
   - Ejecución de pruebas funcionales para
   la validación de los sistemas del CGA
   - Coordinación, seguimiento y control para
   la implantación de los sistemas del CGA
   - Asesoramiento en la Redacción de Pliegos
   de Prescripciones Técnicas</t>
  </si>
  <si>
    <t>Servicio de Supervisión del Proyecto de Obras para la Rehabilitación y Consolidación del Muro Perimetral del Recinto de la Calle Montesa 22. Madrid</t>
  </si>
  <si>
    <t>4.664,82 $</t>
  </si>
  <si>
    <t>Madrid Salud</t>
  </si>
  <si>
    <t>Sonia Santafosta Alonso, Arquitecta Técnica, Avenida Mediterráneo 62, 8ª Planta, 28007 Madrid, Mail: santafostaas@madrid.es, Tlf. 638.551.526</t>
  </si>
  <si>
    <t>El objeto del contrato fue la supervisión del proyecto de obras para la rehabilitación y consolidación del muro perimetral del recinto de la calle Montesa 22.</t>
  </si>
  <si>
    <t>La supervisión realizó una revisión exhaustiva del contenido del proyecto, verificando que se hubiera tenido en cuenta las disposiciones generales de carácter legal o reglamentario, así como la normativa técnica de aplicación, con el fin de identificar las incidencias que conllevaran ausencias significativas y que pudieran derivar en incumplimientos de normativa urbanística y constructiva.</t>
  </si>
  <si>
    <t>En los meses posteriores, ha habido revisiones de la documentación entregada en febrero de 2024.</t>
  </si>
  <si>
    <t>2.456,59 $</t>
  </si>
  <si>
    <t>El objeto del contrato fue la realización de un proyecto técnico de instalación de pantalla LED en la zona de acceso a taxis en el Aeropuerto Josep Tarradellas Barcelona-El Prat.</t>
  </si>
  <si>
    <t>Los trabajos realizados incluyeron:
• Redacción de proyecto técnico de instalación de vinilos sobre lamas de vidrio en el aeropuerto indicado. El proyecto incluyó memoria, anejos y planos, relativos a:
   - Estado actual del área de actuación
   - Ubicación de los vinilos y características
   - Seguridad y Salud
   - Presupuesto de la instalación
• Elaboración del PVSO de obra por Responsable de Seguridad y Salud (RSO)
• Visitas a obra según necesidad
• Dirección de Obra, Coordinación de Seguridad y Salud del proyecto y emisión de Certificado Final de obra</t>
  </si>
  <si>
    <t>Los trabajos realizados incluyeron:
• Redacción de proyecto técnico de instalación de pantalla LED en el aeropuerto indicado. El proyecto incluyó memoria, anejos y planos, relativos a:
   - Estado actual del área de actuación
   - Ubicación y descripción de la pantalla
   - Características de la instalación
   - Seguridad y Salud
   - Presupuesto de la instalación
• Visitas a obra según necesidad
• Dirección de Obra, Coordinación de Seguridad y Salud del proyecto y emisión de Certificado Final de obra</t>
  </si>
  <si>
    <t>El proyecto ha sido ejecutado con cierto retraso ya que el cliente priorizó otros contratos.</t>
  </si>
  <si>
    <t>Asistencia Técnica de PM para Fase de Diseño de la Adecuación del Área Terminal del Aeropuerto César Manrique-Lanzarote</t>
  </si>
  <si>
    <t>Octubre 2028</t>
  </si>
  <si>
    <t>1.816.738,30 $</t>
  </si>
  <si>
    <t>908.369,15 $</t>
  </si>
  <si>
    <t>El objeto del contrato es la prestación de servicios de Project Management para la gestión integral y control del Proyecto de los servicios de Dirección Técnica de los Proyectos de Construcción, Servicio Técnico especializado para el aeropuerto en relación con su ámbito de aplicación, Servicio Técnico BREEAM, Servicio Técnico para la Dirección de Obra.</t>
  </si>
  <si>
    <t>Los servicios en desarrollo incluyen:
• Servicio Técnico de Project Management
   - Definición y estructura organizativa del
   servicio de PM
   - Elaboración y seguimiento del Programa
   General de Actividades
   - Elaboración de un Sistema de Gestión de
   Riesgos
   - Implementación de un Sistema de Control
   Presupuestario
   - Dirección Técnica de los Proyectos de
   Construcción
   - Coordinación técnica de proyectos
   constructivos
   - Coordinación general del Proyecto
   - Seguimiento y actualización del Programa
   General de Actividades
   - Desarrollo del Proyecto según
   Metodología BIM
   - Seguimiento y control presupuestario del
   Proyecto
   - Servicio Técnico Especializado para la
   Dirección de Obra
• Servicio Técnico en Seguridad
   Aeroportuaria
   - Asistencia a reuniones y elaboración de
   actas de reunión
   - Elaboración de informes y estudios de
   seguridad y facilitación
   - Adaptación de procedimientos,
   instrucciones y manuales de seguridad
   - Elaboración de faseado respecto a
   controles de seguridad y de pasaportes
   - Estudio de afecciones a implicados y
   terceros
   - Estudio de nuevos flujos de pasaportes y
   capacidades
   - Estudio de filtros alternativos y controles
   de pasaportes alternativos, nuevos XOVIS,
   puertas automáticas, diseño líneas,
   elementos de facilitación, videowalles, etc.
• Servicio Técnico en Seguridad Operacional
   - Revisión de proyectos desde el punto de
   vista de seguridad operacional
   - Realización y asesoramiento a las
   gestiones de riesgos de los proyectos y las
   obras
   - Realización de la gestión del cambio
   - Tramitación con AESA de la gestión del
   cambio
   - Revisión y aprobación de los PVSO
   - Seguimiento del Plan de subsanación y
   gestiones con AESA
• Servicio Técnico en Operaciones Aeroportuarias
   - Revisión de los estudios de capacidad y
   necesidades de la Dirección de
   Planificación
   - Seguimiento de la previsión de
   necesidades de los estudios de la
   Dirección de Planificación y contraste con
   la evolución real del tráfico para la
   identificación de necesidades adicionales a
   las de la Adecuación del Área Terminal
   - Definición de soluciones locales para
   adecuar la capacidad hasta la ejecución
   de las grandes inversiones previstas en la
   Adecuación del Área Terminal
   - Realización de estudios particulares de
   necesidades o análisis de situación por
   sobrevenidos
   - Definición de detalle del alcance de los
   proyectos de la Adecuación del Área
   Terminal
   - Revisión de los proyectos para
   comprobación de que los requisitos se
   han contemplado en proyecto
   - Coordinación de la planificación de obras
   para minimización del impacto operativo
   - Preparación de propuestas de publicación
   de información aeronáutica
   - Adaptación de los programas de obra a
   las fechas concretas de ejecución
   - Soporte para la identificación de
   necesidades de adaptación de las
   estrategias de asignación de medios a los
   requerimientos durante la ejecución de las
   obras
• Servicio Técnico en Servicios Aeroportuarios
   - Análisis de los flujos de los procesos de
   salida y llegadas
   - Análisis y definición de los accesos y
   superficies de aparcamiento y/o carga y
   descarga, tanto en salidas como en
   llegadas, criterios de diseño, análisis de
   afecciones durante la obra, búsqueda de
   medidas mitigadoras
   - Análisis de las necesidades de compañías
   aéreas y agentes de handling
   - Consulta y gestión y coordinación a
   través de los modelos de información BIM
• Servicio Técnico en TIC
   - Coordinación con los distintos servicios,
   planificación de la reubicación de SIPAS,
   previsión de nuevas necesidades en
   puntos de voz/datos, RMS
   - Coordinación entre las distintas áreas del
   aeropuerto, DTIC y la obra
   - Llevar a cabo actividades de
   documentación de las peticiones, actualizar
   la documentación existente y redactar las
   peticiones de equipamiento
   - Asistir a las reuniones y replanteos
• Servicio Técnico en Temas de Gestión Comercial
   - Realización de los monoplanos a incluir
   en las licitaciones comerciales de
   concurso
   - Revisión de los proyectos de los
   concesionarios para su validación y emisión
   del certificado correspondiente
   - Extracción de la información de los
   modelos de información BIM del aeropuerto
   - Definición de la suficiente potencia
   eléctrica para suministrar potencia
   suficiente para los locales comerciales y
   resto de elementos
   - Definición de las extracciones de humo
   para locales de restauración
   - Definición de la suficiente capacidad de
   acometida de agua y saneamiento para
   puntos de restauración cercana y accesible
   - Definición de los recorridos y accesos
   logísticos diferenciados con suficiente
   capacidad para movimientos verticales y
   horizontales
   - Definición de los espacios para
   almacenamiento de mercancías y
   productos
   - Definición de la suficiente capacidad para
   las instalaciones de PCI de los locales
   comerciales
   - Establecer mejoras e incremento de las
   superficies comerciales
   - Definición de emplazamientos para todos
   los elementos comerciales que no son
   locales
   - Definición de fachadas y elementos
   comunes de imagen de los locales
   comerciales
   - Coordinación de los trabajos de las
   contratas de los concesionarios con las
   diferentes áreas técnicas y operativas del
   aeropuerto y los trabajos de ejecución del
   diseño funcional, así como autorización,
   vigilancia, validación y finalizadas las
   obras privativas
   - Reducción al mínimo de las afecciones a
   locales comerciales activos
   - Apertura de puntos de venta provisionales
   - Paneles de obra vinilados con información
   y señalización comercial
• Servicio Técnico en Ingeniería y Mantenimiento (campo de vuelo, conservación de edificios, instalaciones de edificios, instalaciones especiales, oficina técnica)
   - Definición de necesidades arquitectónicas, 
   diseños y señalética
   - Definición de necesidades de agua,
   saneamiento y PCI
   - Definición de los cálculos estructurales
   necesarios para las nuevas edificaciones
   - Asesoramiento en las actividades de toma
   de datos
   - Asesoramiento en la definición de las
   soluciones de cada instalación, incluyendo
   estudio de viabilidades de las producciones
   existentes y capacidades
   - Coordinación con otras divisiones y con la
   División Comercial en especial, las
   necesidades de baja tensión,
   climatización, PCI, etc. de los futuros
   locales comerciales
   - Elaboración de Informes y Estudios
   - Estudio de afecciones en las instalaciones
   existentes
   - Identificación de relaciones con otros
   expedientes existentes o en planificación
   - Revisión de los proyectos desde un
   punto de vista estrictamente
   reglamentario
   - Revisión de la compatibilidad de las
   soluciones con la política de ahorro
   energético 
   - Estudio de posibles afecciones
   - Integración de la solución proyectada con
   el estudio prestacional, y actualización del
   mismo
   - Gestión y desarrollo del correcto desarrollo
   del modelo de información BIM para los
   estudios, revisiones y verificaciones
   necesarias
   - Desarrollo de modelo BIM en fase de
   proyecto con la solución proyectada a nivel
   estructural, arquitectónico y de instalaciones
   - Establecer faseado de obra
   - Revisión de la propuesta de
   planificación de obra
   - Coordinación de los trabajos con otras
   divisiones y en especial con comercial
   - Coordinación de los trabajos de obra civil
   con los de instalaciones
   - Seguimiento del desarrollo de los trabajos
   y de las posibles desviaciones, proponiendo
   alternativas
   - Coordinación de los cortes de suministros
   - Trazabilidad de proyecto: documentación
   de las alternativas y soluciones finales
   - Propuesta de gestión de las diferentes
   garantías
   - Asistencia a visitas de obra
   - Dar solución a posibles servicios afectados
   - Asistencia a reuniones de obra y PRL
   - Aportación de soluciones en tiempo real
   - Búsqueda de afecciones en las
   instalaciones debidas a la realización de
   trabajos
   - Coordinación de los trabajos para
   minimizar las afecciones: presentación
   de soluciones
   - Reuniones de obra. Realización de actas
   de seguimiento
   - Reuniones de PRL
   - Elaboración de actas
   - Elaboración de presentaciones y
   resúmenes ejecutivos
   - Trabajos administrativos y de gestión
   documental
   - Trabajos de delineación
   - Labores de Coordinación
• Servicio Técnico BREEAM</t>
  </si>
  <si>
    <t>Oferta de colaboración en la preparación de la oferta "Transportation Operation and Management for King Abdulaziz International Airport"</t>
  </si>
  <si>
    <t>15.500,82 $</t>
  </si>
  <si>
    <t>UTE EAS EYSA</t>
  </si>
  <si>
    <t>Manuel Barrios Bel, Gerente UTE EAS, Mail: mbarrios@easparking.com, Tlf. 679.191.625</t>
  </si>
  <si>
    <t>El objeto del contrato fue la realización de servicios de colaboración en la preparación de la oferta relativa a: "Transportation Operation and Management for King Abdulaziz International Airport".</t>
  </si>
  <si>
    <t>La propuesta de alcance se basó en el diseño de propuestas, mejoras y optimización de los siguientes sistemas:
• Propuestas de solución del drop off en salidas del T1, soluciones extensibles al TN
• Adecuación de servicios a los pasajeros en las acercas de salidas
• Propuesta de ordenación de la zona de llegadas
• Propuestas de revisión de zonas de aparcamiento (áreas dedicadas a clientes según distintas tipologías)
• Estudio de posibles modificaciones de las bolsas de taxis y sistemas de recogida a pasajeros en los puntos propuestos
• Estudio de posibles modificaciones de los ride hailing y sistemas de reocgida a pasajeros en los puntos propuestos
• Propuesta para ubicación de sitios de estancias para conductores de transportes públicos
• Centro de gestión de los transportes y aparcamientos
• Revisión y propuestas para la mejora de las zonas de autobuses
• Proponer espacios para mantenimiento y lavado de vehículos de rent-a-car y también para vehículos privados
• Propuesta de nuevos servicios como mejora de los niveles de servicio ofrecidos actualmente, tanto para los privados como para los transportes públicos y discrecionales
• Monitorización de seguimiento de trayectoria de los autobuses para información al público</t>
  </si>
  <si>
    <t>Asistencia Técnica de PM para Fase de Diseño de la Adecuación del Área Terminal del Aeropuerto Tenerife Norte Ciudad de La Laguna</t>
  </si>
  <si>
    <t>La Laguna</t>
  </si>
  <si>
    <t>Noviembre 2028</t>
  </si>
  <si>
    <t>2.177.980,53 $</t>
  </si>
  <si>
    <t>1.088.990,26 $</t>
  </si>
  <si>
    <t>José Luis Vilches, Director del Expediente, Mail: jlvilches@aena.es, Tlf. 670.003.338</t>
  </si>
  <si>
    <t>El objeto del contrato es la consecución de los objetivos de coste, plazo y calidad del proyecto relativo a la adecuación del área terminal del aeropueto descrito, el equipamiento y mobiliario de la ampliación del edificio terminal, y las actuaciones en los aparcamientos.</t>
  </si>
  <si>
    <t>Servicios consistentes en la Asistencia Técnica a la Redacción del Proyecto de la Obra del Nuevo Acuartelamiento de la Guardia Civil en A Fonsagrada (Lugo)</t>
  </si>
  <si>
    <t>A Fonsagrada</t>
  </si>
  <si>
    <t>Abril 2024</t>
  </si>
  <si>
    <t>55.799,70 $</t>
  </si>
  <si>
    <t>Sociedad de Infraestructuras y Equipamientos Penitenciarios, y de la Seguridad del Estado, S.M.E., S.A.</t>
  </si>
  <si>
    <t>Laura Navarro Tercero, Arquitecto, Calle Claudio Coello, 31, 5ª Planta, 28001 Madrid, Mail: lnavarro@siepse.es, Tlf. 91.594.24.10</t>
  </si>
  <si>
    <t>El trabajo fue la Asistencia Técnica a la redacción del Proyecto Básico y de Ejecución de un nuevo Acuartelamiento de la Guardia Civil, mediante la metodología BIM, compuesto por todos los proyectos y sub-proyectos para su implantación, legalización y puesta en marcha.</t>
  </si>
  <si>
    <t>Los trabajos realizados por AIRIA fueron:
• Redacción de Proyecto Básico
• Redacción de Proyecto de Ejecución:
   - Memoria y Anexos
   - Planos
   - Pliego de Prescripciones Técnicas
   Particulares
   - Presupuesto
   - Estudio de Seguridad y Salud
   - Gestión de Residuos
• Desarrollo de Estudio de Seguridad y Salud
• Desarrollo de Gestión de Residuos
• Consecución de documentación urbanística, gestiones ante organismos y estudio de mercado</t>
  </si>
  <si>
    <t>Informe PO-13 para la obra "SOE-1010/22-Montaje y desmontaje Campaña Sixt en exterior fingers T4"</t>
  </si>
  <si>
    <t>539,91 $</t>
  </si>
  <si>
    <t>El objeto del contrato fue la realización de un informe PO-13 relativo a la obra descrita.</t>
  </si>
  <si>
    <t>Los trabajos realizados incluyeron:
• Redacción de informe PO-13 conforme al modelo facilitado para la obra "SOE-1010/22-Montaje y desmontaje Campaña Sixt en exterior fingers T4"
• Gestión y seguimiento de la incidencia</t>
  </si>
  <si>
    <t>1.889,68 $</t>
  </si>
  <si>
    <t>El objeto del contrato fue el seguimiento de la obra relativa a la instalación de publicidad en prepasarelas del aeropuerto descrito por parte de un Responsable de Seguridad Operacional.</t>
  </si>
  <si>
    <t>Las tareas realizadas fueron:
• Seguimiento de obra por Responsable de Seguridad Operacional (5 visitas)</t>
  </si>
  <si>
    <t>Servicios consistentes en la Redacción del Proyecto de Reforma del Centro Penitenciario Madrid II en Alcalá de Henares</t>
  </si>
  <si>
    <t>Alcalá de Henares</t>
  </si>
  <si>
    <t>Noviembre 2024</t>
  </si>
  <si>
    <t>51.613,06 $</t>
  </si>
  <si>
    <t>Jesús María Vences Benito, Director de Obra, Calle Claudio Coello 31, 5ª Planta, 28001 Madrid, Mail: jmvences@siepse.es, Tlf. 91.567.09.73</t>
  </si>
  <si>
    <t>El objeto del expediente fue la realización y desarrollo del Proyecto de Ejecución de la reforma del Centro Penitenciario Madrid II en Alcalá de Henares.</t>
  </si>
  <si>
    <t>Las tareas realizadas por AIRIA fueron:
• Redacción de estudios previos para la reforma integral de la Enfermería, la reforma de instalación de detección de incendios y reforma del abatecimiento de agua
• Desarrollo del Proyecto de Reformas
   - Memoria y Anexos
   - Planos
   - Pliego de Prescripciones Técnicas
   Particulares
   - Presupuesto
• Redacción de Estudio de Seguridad y Salud
• Desarrollo de gestión de residuos
• Consecución de otros trabajos (levantamiento del estado actual, gestiones ante organismos y compañías, y otros documentos)</t>
  </si>
  <si>
    <t>Actualización de PVSO: Instalación de publicidad en las prepasarelas en el Aeropuerto Adolfo Suárez Madrid-Barajas</t>
  </si>
  <si>
    <t>161,97 $</t>
  </si>
  <si>
    <t>El objeto del contrato fue la actualización del PVSO perteneciente a la obra "Instalación de publicidad en las prepasarelas en el Aeropuerto Adolfo Suárez Madrid-Barajas".</t>
  </si>
  <si>
    <t>Las tareas realizadas fueron:
• Actualización del PVSO</t>
  </si>
  <si>
    <t>Mayo 2025</t>
  </si>
  <si>
    <t>596.060,64 $</t>
  </si>
  <si>
    <t>298.030,32 $</t>
  </si>
  <si>
    <t>El objeto del contrato fue la prestación de servicios de coordinación, ingeniería de asesoramiento, gestión y control técnico necesarios en el proceso de puesta en explotación de los espacios dedicados a actividades comerciales, ya fueran tiendas, locales, campañas de marketing, salas VIPS, espacios relacionados con aparcamientos y rent a car o con activos inmobiliarios.</t>
  </si>
  <si>
    <t>Los trabajos fueron:
• Revisión y aprobación del proyecto ejecutivo privativo en fase de redacción incluyendo visita previa para detectar afectación de servicios
• Seguimiento y control de la ejecución de obra
• Control de la documentación final de obra, haciendo hincapié en el seguimiento de las entregas de la misma
• Asesoramiento de aquellos temas técnicos que pudieran aparecer en el transcurso de la ejecución de las obras
• Generación y actualización de las fichas de los locales con las características principales de volumen y servidumbres</t>
  </si>
  <si>
    <t>A definir</t>
  </si>
  <si>
    <t>Servicio de instalación y apoyo a la PeS de consolas iFOCUCS 11 y 12 en el ACC de Gran Canaria</t>
  </si>
  <si>
    <t>Mayo 2027</t>
  </si>
  <si>
    <t>4.475,56 $</t>
  </si>
  <si>
    <t>El objeto del contrato fue la realización del servicio "Servicio de instalación y apoyo a la PeS de consolas iFOCUCS 11 y 12 en el ACC de Gran Canaria".</t>
  </si>
  <si>
    <t>El principal servicio realizado por AIRIA es la instalación y apoyo a la PeS de consolas iFOCUCS, incluyendo:
• Subida de cableado desde semisótano
• Mecanizado de canalizaciones en semisótano y suelo técnico
• Instalación equipamiento iFOCUCS, acometida y conexionado cableado
• Suministro e instalación de latiguillos para patch panel y material vario instalación
• Certificación del cableado
• Documentación números de serie. No incluye obra civil</t>
  </si>
  <si>
    <t>Simulación de movimiento de aeronaves en la plataforma en construcción del Nuevo Aeropuerto de Chinchero-Cusco</t>
  </si>
  <si>
    <t>10.366,27 $</t>
  </si>
  <si>
    <t>Consorcio AICC</t>
  </si>
  <si>
    <t>Álvaro Olabarría, Consorcio AICC, Mail: aolabarria@empre.es</t>
  </si>
  <si>
    <t>El objeto del contrato fue la realización de simulaciones de movimiento de aeronaves en la plataforma en construcción del Nuevo Aeropuerto de Chinchero-Cusco.</t>
  </si>
  <si>
    <t>El alcance de los trabajos en AviPlan incluyó las siguientes tareas:
• Revisión de giros y movimientos de aeronaves en el campo de vuelo del nuevo aeropuerto
• Revisión de accesos y salida de aeronaves en todos los puestos de estacionamiento, utilizando la aeronave crítica de cada tamaño para los que se han diseñado las posiciones y la flexibilidad de las dos posiciones MARS código E
• En las simulaciones se representaron las distancias de guardia, las eventuales necesidades de pavimento en superficies de enlace y la protección por chorro-motor</t>
  </si>
  <si>
    <t>Servicio de RSO: Trabajos de seguimiento de acceso y retirada de máquina tipo tijera en el Aeropuerto Adolfo Suárez Madrid-Barajas</t>
  </si>
  <si>
    <t>410,33 $</t>
  </si>
  <si>
    <t>El objeto del contrato fue la realización de un servicio de RSO relativo a trabajos de seguimiento de acceso y retirada de máquina tipo tijera en el Aeropuerto Adolfo Suárez Madrid-Barajas.</t>
  </si>
  <si>
    <t>Las tareas realizadas por AIRIA fueron:
• Seguimiento de vehículo por RSO (Responsable de Seguridad Operacional)</t>
  </si>
  <si>
    <t>Encuesta 2024 de Satisfacción a Pasajeros Usuarios del Sistema de Transporte Automático APM</t>
  </si>
  <si>
    <t>5.385,60 $</t>
  </si>
  <si>
    <t>Emilio Martinez Melian, Terminal 2, 4ª Planta, Oficina de Compras, 28042 Madrid, Mail: comprasmad@aena.es, Tlf. 91.393.65.44</t>
  </si>
  <si>
    <t>El objeto del servicio fue la realización de una encuesta de satisfacción a los pasajeros usuarios del APM en el aeropuerto.</t>
  </si>
  <si>
    <t>El servicio realizado consistió en la realización de las encuestas en las que se trataba de:
• Cuantificar las principales variables que conformaban la percepción del servicio del APM en una muestra representativa de usuarios
• Análisis comparativo y evolutivo con respecto a las mediciones anteriores</t>
  </si>
  <si>
    <t>Servicio de Project Manager para elementos publicitarios en el Aeropuerto Josep Tarradellas Barcelona-El Prat</t>
  </si>
  <si>
    <t>2.980,30 $</t>
  </si>
  <si>
    <t>UTE Sistemas e Imagen Publicitaria - Exterior Plus</t>
  </si>
  <si>
    <t>Álvaro Martínez Ruano, Jefe de Operaciones, Avenida Pirineos, 7-3ª Izquierda, San Sebastián de los Reyes, 28703 Madrid, Mail: alvaromartinez@exteriorplus.es, Tlf. 91.623.82.07</t>
  </si>
  <si>
    <t>El objeto del servicio fue la realización de Project Manager para elementos publicitarios en el Aeropuerto Josep Tarradellas Barcelona-El Prat.</t>
  </si>
  <si>
    <t>Las tareas realizadas fueron:
• Servicio de Project Manager para dar soporte a la instalación de un Stand Publicitario de la marca Cupra. Brindar apoyo al personal del cliente en la gestión y coordinación de la documentación necesaria para la instalación del Stand, así como con las legalizaciones
• Visitas durante la instalación del Stand
• Visita adicional para coordinar los trabajos de legalización de la instalación eléctrica</t>
  </si>
  <si>
    <t>Servicio para el Seguimiento del Mantenimiento de Sistemas SMP de Ayudas Visuales de los aeropuertos y helipuertos de Aena y el asesoramiento técnico sobre el sistema</t>
  </si>
  <si>
    <t>Septiembre 2025</t>
  </si>
  <si>
    <t>259.522,78 $</t>
  </si>
  <si>
    <t>129.761,40 $</t>
  </si>
  <si>
    <t>El objeto del contrato es el de prestar los servicios de seguimiento necesarios para la realización del Seguimiento y Vigilancia de los Expedientes de Mantenimiento de los Sistemas de Mando y Presentación (SMP) en los aeropuertos y helipuertos de Aena y el asesoramiento técnico sobre el sistema.</t>
  </si>
  <si>
    <t>El servicio consiste en:
• Seguimiento de las actividades de mantenimiento preventivo, durante el desarrollo de las revisiones anuales básicas
• Seguimiento de las actividades de mantenimiento preventivo, durante el desarrollo de las revisiones anuales completas
• Gestión, análisis, revisión y seguimiento de las incidencias ocurridas durante el desarrollo del expediente de mantenimiento del SMP de Aena
• Supervisar y hacer seguimiento de las actividades a desarrollar para los traslados de puestos del SMP de los aeropuertos y helipuertos de Aena
• Seguimiento de las actividades de replanteo necesarias a realizar como alcance de los expedientes de mantenimiento del SMP
• Asesoramiento técnico para la elaboración de informes técnicos
• Desarrollo y ejecución de las actividades de refresco para la operación de los SMP
• Redacción de modificados de los proyectos con los medios adecuados para realizar los cálculos y soluciones propuestas
• Revisión de toda la documentación asociada a la operación y mantenimiento de los SMP de los aeropuertos y helipuertos de Aena
• Elaboración de repositorio de la documentación de mantenimiento
• Gestión y seguimiento de la calidad
• Seguimiento y auditoría de costes y del programa de actividades
• Elaboración de informes, documentos, tablas, etc. relacionados con el estado de las instalaciones del SMP, así como el estado de su mantenimiento
• Seguimiento de los planes de Seguridad y Salud y de vigilancia medioambiental
• Revisión de toda la documentación final de obra/instalación
• Verificación de las actividades de mantenimiento ejecutadas, comprobando los parámetros operativos
• Realización de todas las actas de las reuniones durante la duración de la prestación de la A.T.
• Asesoramiento técnico previo a la realización de pruebas, inspecciones y auditorías
• Seguimiento de la realización de pruebas, inspecciones y auditorías
• Elaboración de informes de pruebas, inspecciones y auditorías, alegaciones y planes de acciones correctoras
• Seguimiento del estado de las pruebas, inspecciones y auditorías y actuaciones derivadas de las mismas
• Formación al personal de Aena SME S.A. sobre el SMP, sus características, condiciones de operación, funcionalidades y todos los aspectos relativos al conocimiento detallado y pormenorizado del SMP</t>
  </si>
  <si>
    <t>La UTE está formada por VIARIUM Ingeniería, S.L. y AIRIA Ingeniería y Servicios, S.A.</t>
  </si>
  <si>
    <t>Visita para replanteo de elementos publicitarios en el Aeropuerto Josep Tarradellas Barcelona-El Prat</t>
  </si>
  <si>
    <t>485,92 $</t>
  </si>
  <si>
    <t>El objeto del contrato fue la realización de una visita para replanteo de elementos publicitarios en el Aeropuerto Josep Tarradellas Barcelona-El Prat.</t>
  </si>
  <si>
    <t>La principal tarea fue la realización de una visita de replanteo del Stand de Cupra en el aeropuerto de Barcelona.</t>
  </si>
  <si>
    <t>Servicio de consultoría para la preparación de la Fase 3 de autorización de establecimiento de helipuerto de uso restringido. Proyecto de nuevo helipuerto en el Hospital Marqués de Valdecilla. Santander</t>
  </si>
  <si>
    <t>Santander</t>
  </si>
  <si>
    <t>17.925,01 $</t>
  </si>
  <si>
    <t>Alicia Regano Tirado, Senior Aviation Engineer, B&amp;P, EUR - West Hub, Calle Alfonso XII 62, 5ª Planta, 28014 Madrid, Mail: alicia.regano@aecom.com, Tlf. 603.75.44.43</t>
  </si>
  <si>
    <t>1.857,58 $</t>
  </si>
  <si>
    <t>El objetivo del contrato fue el seguimiento de obra, por parte de un RSO, relativo a la instalación de publicidad en las prepasarelas del Aeropuerto Adolfo Suárez Madrid-Barajas.</t>
  </si>
  <si>
    <t>AECOM solicitó a AIRIA la redacción de parte de la documentación asociada a la Fase 3 de autorización de establecimiento de helipuerto de uso restringido.</t>
  </si>
  <si>
    <t>Los trabajos realizados por AIRIA fueron:
• Redacción de procedimientos de helipuertos de uso hospitalario de acuerdo con el material guía de AESA
   - Procedimiento de Inspección y
   comprobación de la instalación previas al
   vuelo
   - Procedimiento de Protección contra la
   corriente descendente de los rotores
   - Procedimiento de transferencia de
   pacientes
• Revisión y configuración de las trayectorias de aproximación y de ascenso en el despegue definitivas
• Estudio de obstáculos del helipuerto teniendo en cuenta los requisitos de operación de los helicópteros de despegue y las recomendaciones de AESA</t>
  </si>
  <si>
    <t>La principal tarea desarrollada por AIRIA fue:
• Seguimiento de obra por parte de un Responsable de Seguridad Operacional (RSO) (5 visitas a obra)</t>
  </si>
  <si>
    <t>743,03 $</t>
  </si>
  <si>
    <t>La principal tarea desarrollada por AIRIA fue:
• Seguimiento de obra por parte de un Responsable de Seguridad Operacional (RSO) (2 visitas a obra)</t>
  </si>
  <si>
    <t>Tuvieron que realizarse 2 visitas adicionales a obra.</t>
  </si>
  <si>
    <t>Asistencia Técnica de Obra. Construcción del Centro de Mayores Parque Europa Calle Fuente del Tiro nº72. Distrito de Latina</t>
  </si>
  <si>
    <t>Abril 2026</t>
  </si>
  <si>
    <t>105.666,55 $</t>
  </si>
  <si>
    <t>ROGASA Construcciones y Contratas</t>
  </si>
  <si>
    <t>Alfonso de Carlos Muñoz, Jefe de Obra, Tlf. 625.156.133</t>
  </si>
  <si>
    <t>El objeto del contrato es la realización de servicios de Asistencia Técnica en todas las tareas que deba realizar la Dirección de Obra en el cumplimiento de sus funciones. En todo momento se están desarrollando los trabajos precisos, en la fase de ejecución, para evitar que cualquier acción o trámite se demore por falta de la información necesaria para tomar las decisiones.</t>
  </si>
  <si>
    <t>Las funciones que se están desarrollando son:
• Participar en la reunión de comienzo de la obra, en la que se explicó el proyecto al constructor y se recogieron las dudas y planteamiento
• Asistir a las reuniones periódicas de obra
• Revisión y validación de los documentos necesarios para la correcta definición de las unidades de obra a realizar en la fase de obra, tales como planos de ejecución, detalles, croquis, informes, cálculos, etc.
• Resolver las cuestiones técnicas planteadas por la Dirección de Obra y la constructora a lo largo de la misma en materia de estructuras, arquitectura e instalaciones
• Asistir a la Dirección de Obra en la tarea de seguimiento del Contratista en cumplimiento de las condiciones establecidas en el contrato de obras y en su Plan de Aseguramiento de la Calidad
• Garantizar la ejecución de las obras de acuerdo con el proyecto aprobado y las modificaciones autorizadas
• Realizar las mediciones de las obras realmente ejecutadas, seguimiento de las certificaciones y su correlación con lo previsto en el Programa de Trabajos
• Realización de un seguimiento específico de los criterios desarrollados en el proyecto en materia de evacuación y sectorización y en materia de accesibilidad y barreras arquitectónicas
• Resolver posibles interferencias entre las soluciones estructurales y la arquitectura e instalaciones
• Verificar que las marcas y productos considerados como alternativas a determinadas soluciones sean equivalentes en calidad y prestaciones
• Redactar informes y Actas de obra según lo solicitado por la Dirección de Obra
• Partes de inspección
• Redacción del Informe Final de la Asistencia Técnica</t>
  </si>
  <si>
    <t>Asistencia Técnica para Redacción del Proyecto y Servicio de Control y Vigilancia (ATRCV) de Obras para el traslado del Centro de Control de Baleares</t>
  </si>
  <si>
    <t>Marratxí</t>
  </si>
  <si>
    <t>Marzo 2028</t>
  </si>
  <si>
    <t>846.879,56 $</t>
  </si>
  <si>
    <t>423.439,78  $</t>
  </si>
  <si>
    <t>Mónica Mansilla Rodríguez, Directora Económico Financiera</t>
  </si>
  <si>
    <t>El objeto del expediente es la prestación de servicios de "Asistencia Técnica para la redacción del proyecto y servicio de control y vigilancia de obras (ATRCV) de las obras para el traslado del centro de control de Baleares al aeropuerto de Son Bonet".</t>
  </si>
  <si>
    <t>Los servicios a prestar son los siguientes:
• Toma de datos y levantamiento de la parcela en su situación actual
• Elaboración de propuesta arquitectónica en un anteproyecto tras la selección entre dos de ellas
• Redacción de los proyectos básicos y de construcción para las obras del traslado del centro de control de Baleares al aeropuerto de Son Bonet
• Elaboración de estudios previos e informes técnicos necesarios para la tramitación de los proyectos
• Proyecto de actividad de Oficinas e instalaciones generales para la tramitación de las licencias y autorizaciones
• Asistencia a las consultas previas en los organismos públicos pertinentes con el objetivo de la solicitud de licencia de obra y actividad del nuevo centro de control de Baleares y posterior seguimiento de la tramitación de dichas licencias, incluyendo licencias específicas de demoliciones y talas de arbolado
• Elaboración de informes técnicos previos sobre el proyecto y las propuestas de los licitadores a los contratos de ejecución de obra
• Análisis, supervisión y control de los proyectos constructivos, modificados, de liquidación, etc.
• Vigilancia y control de los trabajos previos a la ejecución de las obras
• Vigilancia y control durante la construcción y montaje
• Vigilancia y control de los trabajos posteriores a la construcción para la puesta en marcha de las instalaciones
• Elaboración del libro de edificio y la documentación necesaria para la obtención de la licencia de primera ocupación</t>
  </si>
  <si>
    <t>Elaboración de un informe donde se contemple un análisis de la oferta de vuelos turísticos en la Comunidad de Madrid, y las posibles instalaciones aeronáuticas competencia de esta comunidad que puedan albergar estas operaciones</t>
  </si>
  <si>
    <t>12.578,48 $</t>
  </si>
  <si>
    <t>Consejería de Vivienda, Transportes e Infraestructuras</t>
  </si>
  <si>
    <t>Fernando Sánchez Naharro, Jefe de Área de Instalaciones Aeronáuticas y Transporte por Cable, Dirección General de Transportes y Movilidad, Calle Orense, 60, Mail: fernando.sanchez.naharro@madrid.org, Tlf. 91.580.15.21</t>
  </si>
  <si>
    <t xml:space="preserve">El objeto del contrato es la elaboración de un informe que contenga un análisis de la oferta de vuelos turísticos en la CAM, y las posibles instalaciones aeronáuticas de su competencia que pudieran albergar este tipo de operaciones. </t>
  </si>
  <si>
    <t>El servicio a realizar es, principalmente, la redacción de un informe que contenga, al menos:
• Análisis de la oferta existente y futura en la Comunidad de Madrid sobre operadores e instalaciones aeronáuticas empleadas para la realización de vuelos turísticos
• Definición de las zonas de la Comunidad de potencial uso para vuelos turísticos, identificando instalaciones existentes de competencia de la CAM, o nuevas instalaciones en caso de no disponer de alguna existente que sea viable en alguna de las zonas definidas, donde se pueda desarrollar esta actividad, identificando cuáles podrían cubrir la oferta existente y futura para este tipo de vuelos
• Definición de las actuaciones a realizar en las instalaciones identificadas en el punto anterior, y elaboración de un presupuesto estimativo de los costes asociados a dichas actuaciones
• Memoria resumen del servicio realizado, el listado de los helipuertos en los que se considera viable el uso turístico y posibles actuaciones sobre los mismos</t>
  </si>
  <si>
    <t>La plantilla de Terminación de Trabajos se envió al cliente, pero no aparece la respuesta ni el certificado firmado y completado.</t>
  </si>
  <si>
    <t>El alcance de la oferta fue la preparación de la documentación técnica para la presentación por parte de Rover Alcisa del expediente DIN 236/2012.</t>
  </si>
  <si>
    <t>No entiendo muy bien el contrato, teniendo en cuenta que el 12013 es exactamente el mismo tipo de trabajo para la misma licitación.</t>
  </si>
  <si>
    <t>Oferta de colaboración en la preparación del concurso "Espacios Comerciales T4 y T4S. Aeropuerto de Madrid Barajas. DIN236/12"</t>
  </si>
  <si>
    <t>110.000.000 $</t>
  </si>
  <si>
    <t>Estudio de mediciones del Aeropuerto Internacional de Tamale, Ghana</t>
  </si>
  <si>
    <t>5.838,11 $</t>
  </si>
  <si>
    <t>FHECOR</t>
  </si>
  <si>
    <t>Eduardo Romero, Managing Director Building Department, Calle Barquillo 23, 2ª Planta, 28004 Madrid, Mail: err@fhecor.es, Tlf. 91.701.44.60</t>
  </si>
  <si>
    <t>El objeto del contrato fue llevar a cabo el estudio de mediciones de las actuaciones propuestas por el Technical Master Plan dentro de los dos horizontes de desarrollo DP1 y DP2 de todos los elementos, sistemas y redes de servicios en el área de movimiento.</t>
  </si>
  <si>
    <t>Las partidas incluidas en el estudio de mediciones fueron:
• Movimiento de tierras y nivelación en el área de movimiento
• Pista de vuelo
• Sistema de calles de rodadura
• Plataforma de estacionamiento de aeronaves
• Viales de servicio en área de movimiento
• Señalización horizontal y vertical
• Ayudas visuales, iluminación y balizamiento
• Ayudas a la navegación aérea
• Red de drenaje en área de movimiento
• Red de distribución de energía eléctrica en área de movimiento
• Redes de servicio y suministros en área de movimiento
• Vallado perimetral y de propiedad
• Equipos y estaciones meteorológicas
• Sistemas y redes de servicio en plataforma
• Sistemas aeroportuarios específicos</t>
  </si>
  <si>
    <t>Revisión de proyecto de pista de vuelo en Aeropuerto Internacional de Tamale (Ghana)</t>
  </si>
  <si>
    <t>18.045,08 $</t>
  </si>
  <si>
    <t>El objeto del contrato fue la revisión técnica del proyecto de pista de vuelo (lado aire) existente.</t>
  </si>
  <si>
    <t>La lista de áreas revisadas fue:
• Movimiento de tierras y nivelación del área de maniobras
• Pista de vuelo
• Sistema de calles de rodaje
• Plataforma de estacionamiento de aeronaves
• Viales de servicio en el área de maniobras
• Señalización horizontal y vertical
• Ayudas visuales, iluminación y balizamiento
• Ayudas de radio navegación
• Sistema de drenaje en el área de maniobras
• Sistema de alimentación eléctrico en área de maniobras
• Utilities y redes de suministro en área de maniobras
• Valla perimetral
• Estaciones meteorológicas y equipo
• Sistemas y redes de servicio en plataforma
• Sistemas específicos aeroportuarios</t>
  </si>
  <si>
    <t>Proyecto Constructivo del Aeropuerto Internacional de Tamale. Fase 1</t>
  </si>
  <si>
    <t>Íngeniería</t>
  </si>
  <si>
    <t>2.282.171,98 $</t>
  </si>
  <si>
    <t>El objeto del contrato fue el desarrollo del proyecto de ingeniería de diseño del lado aire para la obtención del layout del aeropuerto, definido en el Master Plan.</t>
  </si>
  <si>
    <t>La lista de estudios y tareas realizadas fue la siguiente:
• Diseño preliminar
   - Análisis de la situación existente
   - Evaluación de las necesidades de
   instalaciones
   - Instalaciones afectadas
   - Estudio topográfico
   - Estudio geotécnico
   - Descripción de principales trabajos
   - Layout en lado aire, estructura de
   pavimentos y secciones longitudinal y
   transversal
• Diseño de ingeniería detallado
   - Informe de cálculos
   - Movimientos de tierras
   - Simulación en lado aire
   - Diseño de pavimentos
   - Diseño de señalización
   - Plan de desarrollo aeroportuario
   - Sistema de drenajes
   - Diseño de AGL
   - Ayudas visuales a la navegación
   - Seguridad y Salud
   - Gestión de residuos
   - Integración medioambiental
   - Especificaciones
   - Planos de detalle</t>
  </si>
  <si>
    <t>175.143,43 $</t>
  </si>
  <si>
    <t>El objeto del contrato fue el desarrollo del proyecto de ingeniería de diseño de los Sistemas Aeroportuarios Especiales.</t>
  </si>
  <si>
    <t>El trabajo realizado incluyó la consecución de las siguientes tareas:
• Diseño preliminar
   - Análisis de la situación existente
   - Evaluación de las necesidades de
   instalaciones
   - Instalaciones afectadas
   - Descripción de trabajos principales
• Diseño de ingeniería intermedio
   - Layout de sistemas
   - Plan de desarrollo de trabajos
   - Especificaciones
   - Lista de proveedores
   - Planos de detalle</t>
  </si>
  <si>
    <t>Existe una última oferta relativa al desarrollo de las fases 2A y 2B. Dicha oferta, realizada en enero de 2017, tiene un importe total de 581.200 €. Sin embargo, no existe prueba alguna de que se aceptara ni trabajos a lo largo de los siguientes meses.</t>
  </si>
  <si>
    <t>No, pero existe un Acta de Recepción y Liquidación Única, de noviembre de 2018. En la documentación, aparece que GESNAER se encargó de parte de los proyectos. ¿Hubo un contrato de colaboración con ellos?</t>
  </si>
  <si>
    <t>Entiendo que se trata de un contrato cancelado.</t>
  </si>
  <si>
    <t>No aparece la oferta en la carpeta, pero sí un contrato relativo al Aeropuerto de Castellón. Debe modificarse la información presente.</t>
  </si>
  <si>
    <t>Aparece el entregable del trabajo, pero no aparece ni oferta ni documentación similar. Debe añadirse la información restante.</t>
  </si>
  <si>
    <t>La UTE estuvo formada por Grupo VIARIUM y AIRIA Ingeniería y Servicios, S.A.</t>
  </si>
  <si>
    <t>88.778,06 $</t>
  </si>
  <si>
    <t>Juan Manuel Pérez Gil de la Serna</t>
  </si>
  <si>
    <t>Han existido prórrogas anuales del contrato, así como una prórroga de 5 meses, firmada en octubre de 2024.</t>
  </si>
  <si>
    <t>No tengo muy claro qué oferta fue la finalmente seleccionada: existen demasidas ofertas hechas, sin clarificación alguna.</t>
  </si>
  <si>
    <t>Prestación de asistencia técnica al ORAT del nuevo edificio de pasajeros de TFS</t>
  </si>
  <si>
    <t>22.078,69 $</t>
  </si>
  <si>
    <t>2.759,84 $</t>
  </si>
  <si>
    <t>AYESA Ingeniería y Arquitectura, S.A.U.-PROINTEC, S.A.U.</t>
  </si>
  <si>
    <t>Ernesto Muñiz Martín, Dr. Ingeniero, División de Aeropuertos, Paseo de la Castellana, 91, 10ª Planta, 28046 Madrid, Mail: emmartin@ayesa.com, Tlf. 630.357.789</t>
  </si>
  <si>
    <t>AIRIA prestó de asistencia técnica al ORAT del nuevo edificio de pasajeros de TFS.</t>
  </si>
  <si>
    <t xml:space="preserve">Se definieron tareas necesarias para la puesta en servicio del terminal tales como:
• Asesoramiento técnico
• Revisión de documentación técnica
• Preparación de pruebas
• Verificación de sistemas
• Auditorías de seguridad
• Tramitación de licencias
• Tramitación de documentación y permisos con el aeropuerto
• Tareas necesarias para la puesta en servicio de la instalación de forma integrada con ewl resto de terminales y sistemas aeroportuarios de Aena 
</t>
  </si>
  <si>
    <t>Al mes del inicio del contrato, se acordó la finalización anticipada de la relación, siendo dicha fecha en agosto de 2021.</t>
  </si>
  <si>
    <t>40.610,19 $</t>
  </si>
  <si>
    <t>Tareas de asesoramiento en conexión con proyectos de Aena</t>
  </si>
  <si>
    <t>7.642,62 $</t>
  </si>
  <si>
    <t>Kearney</t>
  </si>
  <si>
    <t>Fernando Ortiz de Urtaran Delgado, Paseo de la Castellana, 31, 4ª Planta, 28046 Madrid, Mail: Fernando.OrtizdeUrtaranDelgado@kearney.com</t>
  </si>
  <si>
    <t>El alcance del contrato fue la revisión de propuestas de licitaciones de AENA en el ámbito del control AVSEC.</t>
  </si>
  <si>
    <t>Las tareas realizadas incluyeron:
• Análisis de la documentación existente, pliegos en curso, diferencias con el pliego anterior a mejorar
• Revisión de las posturas de las posibles empresas ofertantes
• Fortalezas y debilidades
• Propuestas de mejora</t>
  </si>
  <si>
    <t>922.130.763,59 $</t>
  </si>
  <si>
    <t>Estudio Aeronáutico de Seguridad por vulneración de las servidumbres cónica y horizontal interna del Aeropuerto de Málaga-Costa del Sol</t>
  </si>
  <si>
    <t>7.854,92 $</t>
  </si>
  <si>
    <t>SCI Student Experience Real estate VI C.V.</t>
  </si>
  <si>
    <t>Wouter Kruizinga, Real Estate developer, Mail: wouter.kruizinga@studentexperience.com, Tlf. +31 (0) 6 30008924</t>
  </si>
  <si>
    <t>AIRIA realizó un Estudio Aeronáutico de Seguridad con el objetivo de presentar ante AESA que las construcciones proyectadas en dichas parcelas podían permitir el mantenimiento de los niveles de seguridad operacionales aceptables establecidos en el SMS del Aeropuerto de Málaga-Costa del Sol.</t>
  </si>
  <si>
    <t>La principal tarea realizada fue la propia elaboración del Estudio Aeronáutico de Seguridad. Se analizó la situación de las servidumbres respecto a las parcelas indicadas. Se consideraron las altitudes máximas presentadas en los casos de estudio con respecto a las superficies horizontal interna y cónica. Asimismo, se realizó un análisis de los procedimientos instrumentales y visuales del aeropuerto para detectar posibles áreas de conflicto con las construcciones.</t>
  </si>
  <si>
    <t>Huellas de ruido en Aeródromo de Pozo de Guadalajara</t>
  </si>
  <si>
    <t>Pozo de Guadalajara</t>
  </si>
  <si>
    <t>El objeto del contrato fue realizar huellas de ruido en despegue y aterrizaje relativos al aeródromo descrito.</t>
  </si>
  <si>
    <t>La principal tarea realizada fue el propio desarrollo de los estudios de ruido. En concreto, se realizaron los siguientes entregables:
• Desarrollo de estudios de ruido para pista de vuelo 04 (Lden, Lmax)
• Desarrollo de estudios de ruido para pista de vuelo 22 (Lden, Lmax)
• Desarrollo de planos necesarios para la consecución de las tareas previstas</t>
  </si>
  <si>
    <t>Se ha realizado una prórroga del contrato de 24 meses, hasta marzo de 2026, por un importe de 532.000,00 €. No se ha realizado ningún trabajo.</t>
  </si>
  <si>
    <t>Estudio de configuración física de pista y áreas asoiadas para el cumplimiento de las bases de certificación del Reglamento UE 139/2014 del Aeropuerto de San Sebastián</t>
  </si>
  <si>
    <t>Concurs d'adjudicació, mitjançant concessió administrativa, de la gestió de les línies de vol regular internacionals i construcció i gestió indirecta del servei públic de l'Heliport Nacional d'Andorra (HNA)</t>
  </si>
  <si>
    <t>Asistencia Técnica para la Dirección de Obra, Control y Vigilancia en el Aeropuerto de Palmerola</t>
  </si>
  <si>
    <t>DO SIEPSE Majadahonda</t>
  </si>
  <si>
    <t>Asistencia Técnica a la Dirección Facultativa de la Obra de Primer Establecimiento del Acuartelamiento de la Guardia Civil en Majadahonda (Madrid)</t>
  </si>
  <si>
    <t>Majadahonda</t>
  </si>
  <si>
    <t>96.767,09 $</t>
  </si>
  <si>
    <t>El objeto del contrato es la realización de la ejecución de obra, revisión del proyecto previo, elaboración de proyectos reformados, de liquidación y documentación final de obra, libro de edficio, etc.</t>
  </si>
  <si>
    <t>Los trabajos a realizar incluyen la supervisión del proyecto y obras, el desarrollo de metodología BIM, el seguimiento, control económico y otros servicios adicionales. Las principales tareas son:
• Comprobaciones topográficas previas
• Adecuación del proyecto de obra
• Control de ejecución
• Inspección de las obras
• Control de Calidad de materiales
• Seguridad y Salud
• Desarrollo de certificación energética y Verde
• Recepción de las obras
• Generación de documentación final de obra
• Seguimiento de trabajos
• Control económico de obra
• Desarrollo de servicios adicionales, como modificaciones de los proyectos, adicionales, gestiones, certificaciones y documentación final</t>
  </si>
  <si>
    <t>PRL MAD</t>
  </si>
  <si>
    <t>Servicio de Asesoramiento Legislativo, Estudios Comparativos y Mediciones Técnicas de PRL</t>
  </si>
  <si>
    <t>56.506,38 $</t>
  </si>
  <si>
    <t>El objeto del contrato es la realización del servicio de asesoramiento, realización de estudios comparativos y desarrollo de mediciones técnicas necesarios para su ejecución, relacionados con la prevención de riesgos laborales, que posibiliten asímismo la gestión de las evaluaciones técnicas comparadas en las ubicaciones de SPRL zona centro.</t>
  </si>
  <si>
    <t>Las actividades a realizar son las siguientes:
• Cesión de equipos de medición pertenecientes a la empresa adjudicataria para realizar mediciones por técnicos
• Toma de datos con equipos de medición suministrados por la empresa adjudicataria en las diferentes ubicaciones del SPRL zona centro para la realización de estudios comparativos
• Resolución de consultas técnicas y de asesoramiento legal derivadas de cualquier tipo de requerimientos
• Realización de mediciones técnicas in situ en las diferentes ubicaciones del SPRL zona centro para cubrir aspectos relativos a prevención de riesgos laborales
• Volcado de datos de campo con el software propio de cada equipo, mediante los equipos informáticos propios y la instalación del software específico en ellos
• Análisis de datos
• Presentación de resultados</t>
  </si>
  <si>
    <t>ATRPDO IES MAD</t>
  </si>
  <si>
    <t>Servicio de Redacción de Proyectos Básicos y de Ejecución y Dirección Facultativa de Obras de Rehabilitación para la Mejora de la Eficiencia Energética en Centros Educativos de la Comunidad de Madrid</t>
  </si>
  <si>
    <t>152.843,56 $</t>
  </si>
  <si>
    <t>Consejería de Educación, Ciencia y Universidades</t>
  </si>
  <si>
    <t>100.245,04 $</t>
  </si>
  <si>
    <t>El objeto del contrato es la redacción de Proyecto Básico y de Ejecución y Dirección Facultativa de Obras de Rehabilitación para la Mejora de la Eficiencia Energética del IES Mariano José de Larra de Madrid.</t>
  </si>
  <si>
    <t>El servicio se realiza en dos fases: la primera fase hace referencia a la redacción de proyectos básicos y de ejecución de obras de rehabilitación para la mejora de la eficiencia energética en el IES Mariano José de Larra, y la segunda fase es la dirección facultativa de dichas obras, incluyendo dirección de obra y dirección de ejecución de obra.
Las tareas a realizar incluyen:
• Redacción de proyectos
• Estudios previos de caracterización arquitectónica y estructural
• Certificado energético
• Dirección de Obra
• Dirección de Ejecución de Obra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</si>
</sst>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0\ &quot;€&quot;;[Red]\-#,##0\ &quot;€&quot;"/>
    <numFmt numFmtId="8" formatCode="#,##0.00\ &quot;€&quot;;[Red]\-#,##0.00\ &quot;€&quot;"/>
  </numFmts>
  <fonts count="11">
    <font>
      <sz val="11"/>
      <color theme="1"/>
      <name val="Aptos Narrow"/>
      <family val="2"/>
      <scheme val="minor"/>
    </font>
    <font>
      <sz val="11"/>
      <color theme="1"/>
      <name val="Aptos Narrow"/>
      <family val="2"/>
      <scheme val="minor"/>
    </font>
    <font>
      <b/>
      <sz val="7"/>
      <color rgb="FF4D4D4D"/>
      <name val="Swis721 Lt BT"/>
      <family val="2"/>
    </font>
    <font>
      <b/>
      <sz val="9"/>
      <color rgb="FF4D4D4D"/>
      <name val="Swis721 Lt BT"/>
      <family val="2"/>
    </font>
    <font>
      <sz val="11"/>
      <color theme="1"/>
      <name val="Swis721 Lt BT"/>
      <family val="2"/>
    </font>
    <font>
      <sz val="11"/>
      <name val="Swis721 Lt BT"/>
      <family val="2"/>
    </font>
    <font>
      <u/>
      <sz val="11"/>
      <color theme="1"/>
      <name val="Swis721 Lt BT"/>
      <family val="2"/>
    </font>
    <font>
      <i/>
      <sz val="11"/>
      <color theme="1"/>
      <name val="Swis721 Lt BT"/>
      <family val="2"/>
    </font>
    <font>
      <b/>
      <sz val="11"/>
      <color rgb="FFFF0000"/>
      <name val="Swis721 Lt BT"/>
      <family val="2"/>
    </font>
    <font>
      <sz val="11"/>
      <color rgb="FFFF0000"/>
      <name val="Swis721 Lt BT"/>
      <family val="2"/>
    </font>
    <font>
      <sz val="11"/>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rgb="FFEDF7F9"/>
        <bgColor indexed="64"/>
      </patternFill>
    </fill>
    <fill>
      <patternFill patternType="solid">
        <fgColor rgb="FFFF0000"/>
        <bgColor indexed="64"/>
      </patternFill>
    </fill>
    <fill>
      <patternFill patternType="solid">
        <fgColor rgb="FFFFC000"/>
        <bgColor indexed="64"/>
      </patternFill>
    </fill>
  </fills>
  <borders count="3">
    <border>
      <left/>
      <right/>
      <top/>
      <bottom/>
      <diagonal/>
    </border>
    <border>
      <left/>
      <right style="medium">
        <color rgb="FFA6A6A6"/>
      </right>
      <top style="medium">
        <color rgb="FFA6A6A6"/>
      </top>
      <bottom style="medium">
        <color rgb="FFA6A6A6"/>
      </bottom>
      <diagonal/>
    </border>
    <border>
      <left style="medium">
        <color rgb="FFA6A6A6"/>
      </left>
      <right style="medium">
        <color rgb="FFA6A6A6"/>
      </right>
      <top style="medium">
        <color rgb="FFA6A6A6"/>
      </top>
      <bottom style="medium">
        <color rgb="FFA6A6A6"/>
      </bottom>
      <diagonal/>
    </border>
  </borders>
  <cellStyleXfs count="2">
    <xf numFmtId="0" fontId="0" fillId="0" borderId="0"/>
    <xf numFmtId="9" fontId="1" fillId="0" borderId="0" applyFont="0" applyFill="0" applyBorder="0" applyAlignment="0" applyProtection="0"/>
  </cellStyleXfs>
  <cellXfs count="59">
    <xf numFmtId="0" fontId="0" fillId="0" borderId="0" xfId="0"/>
    <xf numFmtId="0" fontId="0" fillId="0" borderId="0" xfId="0" applyAlignment="1">
      <alignment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0" borderId="0" xfId="0" applyFont="1" applyAlignment="1">
      <alignment horizontal="center" vertical="center" wrapText="1"/>
    </xf>
    <xf numFmtId="49" fontId="4" fillId="0" borderId="0" xfId="0" applyNumberFormat="1" applyFont="1" applyAlignment="1">
      <alignment horizontal="center" vertical="center" wrapText="1"/>
    </xf>
    <xf numFmtId="8" fontId="4" fillId="0" borderId="0" xfId="0" applyNumberFormat="1" applyFont="1" applyAlignment="1">
      <alignment horizontal="center" vertical="center" wrapText="1"/>
    </xf>
    <xf numFmtId="9" fontId="4" fillId="0" borderId="0" xfId="1" applyFont="1" applyAlignment="1">
      <alignment horizontal="center" vertical="center" wrapText="1"/>
    </xf>
    <xf numFmtId="0" fontId="4" fillId="0" borderId="0" xfId="0" applyFont="1" applyAlignment="1">
      <alignment horizontal="left" vertical="top" wrapText="1"/>
    </xf>
    <xf numFmtId="0" fontId="4" fillId="3" borderId="0" xfId="0" applyFont="1" applyFill="1" applyAlignment="1">
      <alignment horizontal="center" vertical="center" wrapText="1"/>
    </xf>
    <xf numFmtId="49" fontId="4" fillId="3" borderId="0" xfId="0" applyNumberFormat="1" applyFont="1" applyFill="1" applyAlignment="1">
      <alignment horizontal="center" vertical="center" wrapText="1"/>
    </xf>
    <xf numFmtId="8" fontId="4" fillId="3" borderId="0" xfId="0" applyNumberFormat="1" applyFont="1" applyFill="1" applyAlignment="1">
      <alignment horizontal="center" vertical="center" wrapText="1"/>
    </xf>
    <xf numFmtId="9" fontId="4" fillId="3" borderId="0" xfId="1" applyFont="1" applyFill="1" applyAlignment="1">
      <alignment horizontal="center" vertical="center" wrapText="1"/>
    </xf>
    <xf numFmtId="0" fontId="4" fillId="3" borderId="0" xfId="0" applyFont="1" applyFill="1" applyAlignment="1">
      <alignment horizontal="left" vertical="top" wrapText="1"/>
    </xf>
    <xf numFmtId="0" fontId="4" fillId="0" borderId="0" xfId="0" applyFont="1" applyAlignment="1">
      <alignment horizontal="left" vertical="center" wrapText="1"/>
    </xf>
    <xf numFmtId="0" fontId="4" fillId="0" borderId="0" xfId="0" applyFont="1" applyAlignment="1">
      <alignment vertical="top" wrapText="1"/>
    </xf>
    <xf numFmtId="6" fontId="4" fillId="0" borderId="0" xfId="0" applyNumberFormat="1" applyFont="1" applyAlignment="1">
      <alignment horizontal="center" vertical="center" wrapText="1"/>
    </xf>
    <xf numFmtId="49" fontId="4" fillId="0" borderId="0" xfId="0" applyNumberFormat="1" applyFont="1" applyAlignment="1">
      <alignment horizontal="center" vertical="center"/>
    </xf>
    <xf numFmtId="0" fontId="4" fillId="0" borderId="0" xfId="0" applyFont="1" applyAlignment="1">
      <alignment horizontal="center" vertical="center"/>
    </xf>
    <xf numFmtId="8" fontId="4" fillId="0" borderId="0" xfId="0" applyNumberFormat="1" applyFont="1" applyAlignment="1">
      <alignment horizontal="center" vertical="center"/>
    </xf>
    <xf numFmtId="9" fontId="4" fillId="0" borderId="0" xfId="0" applyNumberFormat="1" applyFont="1" applyAlignment="1">
      <alignment horizontal="center" vertical="center"/>
    </xf>
    <xf numFmtId="4" fontId="4" fillId="0" borderId="0" xfId="0" applyNumberFormat="1" applyFont="1" applyAlignment="1">
      <alignment horizontal="center" vertical="center"/>
    </xf>
    <xf numFmtId="9" fontId="4" fillId="0" borderId="0" xfId="0" applyNumberFormat="1" applyFont="1" applyAlignment="1">
      <alignment horizontal="center" vertical="center" wrapText="1"/>
    </xf>
    <xf numFmtId="4" fontId="4" fillId="0" borderId="0" xfId="0" applyNumberFormat="1" applyFont="1" applyAlignment="1">
      <alignment horizontal="center" vertical="center" wrapText="1"/>
    </xf>
    <xf numFmtId="0" fontId="4" fillId="4" borderId="0" xfId="0" applyFont="1" applyFill="1" applyAlignment="1">
      <alignment horizontal="center" vertical="center" wrapText="1"/>
    </xf>
    <xf numFmtId="49" fontId="4" fillId="4" borderId="0" xfId="0" applyNumberFormat="1" applyFont="1" applyFill="1" applyAlignment="1">
      <alignment horizontal="center" vertical="center" wrapText="1"/>
    </xf>
    <xf numFmtId="17" fontId="4" fillId="0" borderId="0" xfId="0" applyNumberFormat="1" applyFont="1" applyAlignment="1">
      <alignment horizontal="center" vertical="center" wrapText="1"/>
    </xf>
    <xf numFmtId="0" fontId="8" fillId="0" borderId="0" xfId="0" applyFont="1" applyAlignment="1">
      <alignment horizontal="center" vertical="center" wrapText="1"/>
    </xf>
    <xf numFmtId="0" fontId="4" fillId="4" borderId="0" xfId="0" applyFont="1" applyFill="1" applyAlignment="1">
      <alignment horizontal="left" vertical="top" wrapText="1"/>
    </xf>
    <xf numFmtId="8" fontId="4" fillId="4" borderId="0" xfId="0" applyNumberFormat="1" applyFont="1" applyFill="1" applyAlignment="1">
      <alignment horizontal="center" vertical="center" wrapText="1"/>
    </xf>
    <xf numFmtId="9" fontId="4" fillId="4" borderId="0" xfId="0" applyNumberFormat="1" applyFont="1" applyFill="1" applyAlignment="1">
      <alignment horizontal="center" vertical="center" wrapText="1"/>
    </xf>
    <xf numFmtId="8" fontId="5" fillId="5" borderId="0" xfId="0" applyNumberFormat="1" applyFont="1" applyFill="1" applyAlignment="1">
      <alignment horizontal="center" vertical="center" wrapText="1"/>
    </xf>
    <xf numFmtId="0" fontId="5" fillId="5" borderId="0" xfId="0" applyFont="1" applyFill="1" applyAlignment="1">
      <alignment horizontal="center" vertical="center" wrapText="1"/>
    </xf>
    <xf numFmtId="0" fontId="9" fillId="0" borderId="0" xfId="0" applyFont="1" applyAlignment="1">
      <alignment horizontal="center" vertical="center" wrapText="1"/>
    </xf>
    <xf numFmtId="9" fontId="4" fillId="0" borderId="0" xfId="1" applyFont="1" applyFill="1" applyAlignment="1">
      <alignment horizontal="center" vertical="center" wrapText="1"/>
    </xf>
    <xf numFmtId="0" fontId="5" fillId="0" borderId="0" xfId="0" applyFont="1" applyAlignment="1">
      <alignment horizontal="center" vertical="center" wrapText="1"/>
    </xf>
    <xf numFmtId="49" fontId="5" fillId="0" borderId="0" xfId="0" applyNumberFormat="1" applyFont="1" applyAlignment="1">
      <alignment horizontal="center" vertical="center" wrapText="1"/>
    </xf>
    <xf numFmtId="8" fontId="5" fillId="0" borderId="0" xfId="0" applyNumberFormat="1" applyFont="1" applyAlignment="1">
      <alignment horizontal="center" vertical="center" wrapText="1"/>
    </xf>
    <xf numFmtId="9" fontId="5" fillId="0" borderId="0" xfId="0" applyNumberFormat="1" applyFont="1" applyAlignment="1">
      <alignment horizontal="center" vertical="center" wrapText="1"/>
    </xf>
    <xf numFmtId="0" fontId="5" fillId="0" borderId="0" xfId="0" applyFont="1" applyAlignment="1">
      <alignment horizontal="left" vertical="top" wrapText="1"/>
    </xf>
    <xf numFmtId="0" fontId="5" fillId="0" borderId="0" xfId="0" applyFont="1" applyAlignment="1">
      <alignment wrapText="1"/>
    </xf>
    <xf numFmtId="0" fontId="10" fillId="0" borderId="0" xfId="0" applyFont="1"/>
    <xf numFmtId="0" fontId="5" fillId="0" borderId="0" xfId="0" applyFont="1"/>
    <xf numFmtId="8" fontId="5" fillId="4" borderId="0" xfId="0" applyNumberFormat="1" applyFont="1" applyFill="1" applyAlignment="1">
      <alignment horizontal="center" vertical="center" wrapText="1"/>
    </xf>
    <xf numFmtId="9" fontId="4" fillId="4" borderId="0" xfId="1" applyFont="1" applyFill="1" applyAlignment="1">
      <alignment horizontal="center" vertical="center" wrapText="1"/>
    </xf>
    <xf numFmtId="0" fontId="0" fillId="4" borderId="0" xfId="0" applyFill="1" applyAlignment="1">
      <alignment horizontal="center" vertical="center"/>
    </xf>
    <xf numFmtId="0" fontId="5" fillId="4" borderId="0" xfId="0" applyFont="1" applyFill="1" applyAlignment="1">
      <alignment horizontal="center" vertical="center" wrapText="1"/>
    </xf>
    <xf numFmtId="49" fontId="5" fillId="4" borderId="0" xfId="0" applyNumberFormat="1" applyFont="1" applyFill="1" applyAlignment="1">
      <alignment horizontal="center" vertical="center" wrapText="1"/>
    </xf>
    <xf numFmtId="9" fontId="5" fillId="4" borderId="0" xfId="0" applyNumberFormat="1" applyFont="1" applyFill="1" applyAlignment="1">
      <alignment horizontal="center" vertical="center" wrapText="1"/>
    </xf>
    <xf numFmtId="9" fontId="5" fillId="5" borderId="0" xfId="0" applyNumberFormat="1" applyFont="1" applyFill="1" applyAlignment="1">
      <alignment horizontal="center" vertical="center" wrapText="1"/>
    </xf>
    <xf numFmtId="17" fontId="5" fillId="0" borderId="0" xfId="0" applyNumberFormat="1" applyFont="1" applyAlignment="1">
      <alignment horizontal="center" vertical="center" wrapText="1"/>
    </xf>
    <xf numFmtId="0" fontId="0" fillId="0" borderId="0" xfId="0" applyAlignment="1">
      <alignment horizontal="center" vertical="center"/>
    </xf>
    <xf numFmtId="0" fontId="0" fillId="2" borderId="0" xfId="0" applyFill="1" applyAlignment="1">
      <alignment horizontal="center" vertical="center"/>
    </xf>
    <xf numFmtId="8" fontId="4" fillId="5" borderId="0" xfId="0" applyNumberFormat="1" applyFont="1" applyFill="1" applyAlignment="1">
      <alignment horizontal="center" vertical="center" wrapText="1"/>
    </xf>
    <xf numFmtId="0" fontId="4" fillId="5" borderId="0" xfId="0" applyFont="1" applyFill="1" applyAlignment="1">
      <alignment horizontal="center" vertical="center" wrapText="1"/>
    </xf>
    <xf numFmtId="9" fontId="4" fillId="5" borderId="0" xfId="0" applyNumberFormat="1" applyFont="1" applyFill="1" applyAlignment="1">
      <alignment horizontal="center" vertical="center" wrapText="1"/>
    </xf>
    <xf numFmtId="0" fontId="4" fillId="5" borderId="0" xfId="0" applyFont="1" applyFill="1" applyAlignment="1">
      <alignment horizontal="left" vertical="top"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EA7AF-288B-40BF-9328-B6FB455BE7AE}">
  <dimension ref="A1:Y610"/>
  <sheetViews>
    <sheetView tabSelected="1" topLeftCell="B427" zoomScale="75" zoomScaleNormal="75" workbookViewId="0">
      <selection activeCell="U427" sqref="U427"/>
    </sheetView>
  </sheetViews>
  <sheetFormatPr baseColWidth="10" defaultRowHeight="14.4"/>
  <cols>
    <col min="1" max="1" width="11.44140625" hidden="1" customWidth="1"/>
    <col min="13" max="13" width="15.88671875" customWidth="1"/>
    <col min="16" max="17" width="14.6640625" customWidth="1"/>
    <col min="20" max="21" width="43.33203125" customWidth="1"/>
    <col min="23" max="23" width="17.109375" customWidth="1"/>
    <col min="25" max="25" width="11.44140625" style="53"/>
  </cols>
  <sheetData>
    <row r="1" spans="1:25" s="1" customFormat="1" ht="48.6" thickBot="1">
      <c r="A1" s="2"/>
      <c r="B1" s="2"/>
      <c r="C1" s="3"/>
      <c r="D1" s="2"/>
      <c r="E1" s="2" t="s">
        <v>2</v>
      </c>
      <c r="F1" s="2"/>
      <c r="G1" s="2" t="s">
        <v>3</v>
      </c>
      <c r="H1" s="2" t="s">
        <v>4</v>
      </c>
      <c r="I1" s="2" t="s">
        <v>5</v>
      </c>
      <c r="J1" s="2" t="s">
        <v>6</v>
      </c>
      <c r="K1" s="2" t="s">
        <v>7</v>
      </c>
      <c r="L1" s="2" t="s">
        <v>8</v>
      </c>
      <c r="M1" s="2" t="s">
        <v>9</v>
      </c>
      <c r="N1" s="2" t="s">
        <v>10</v>
      </c>
      <c r="O1" s="2"/>
      <c r="P1" s="2" t="s">
        <v>11</v>
      </c>
      <c r="Q1" s="2" t="s">
        <v>12</v>
      </c>
      <c r="R1" s="2" t="s">
        <v>13</v>
      </c>
      <c r="S1" s="2" t="s">
        <v>14</v>
      </c>
      <c r="T1" s="2" t="s">
        <v>15</v>
      </c>
      <c r="U1" s="2" t="s">
        <v>16</v>
      </c>
      <c r="V1" s="2"/>
      <c r="W1" s="2"/>
      <c r="X1" s="2"/>
    </row>
    <row r="2" spans="1:25" ht="72.599999999999994" thickBot="1">
      <c r="A2" s="4" t="s">
        <v>17</v>
      </c>
      <c r="B2" s="4" t="s">
        <v>61</v>
      </c>
      <c r="C2" s="5" t="s">
        <v>18</v>
      </c>
      <c r="D2" s="4" t="s">
        <v>62</v>
      </c>
      <c r="E2" s="4" t="s">
        <v>19</v>
      </c>
      <c r="F2" s="4" t="s">
        <v>20</v>
      </c>
      <c r="G2" s="4" t="s">
        <v>21</v>
      </c>
      <c r="H2" s="4" t="s">
        <v>22</v>
      </c>
      <c r="I2" s="4" t="s">
        <v>23</v>
      </c>
      <c r="J2" s="4" t="s">
        <v>24</v>
      </c>
      <c r="K2" s="4" t="s">
        <v>25</v>
      </c>
      <c r="L2" s="4" t="s">
        <v>26</v>
      </c>
      <c r="M2" s="4" t="s">
        <v>27</v>
      </c>
      <c r="N2" s="4" t="s">
        <v>28</v>
      </c>
      <c r="O2" s="4" t="s">
        <v>29</v>
      </c>
      <c r="P2" s="4" t="s">
        <v>30</v>
      </c>
      <c r="Q2" s="4" t="s">
        <v>31</v>
      </c>
      <c r="R2" s="4" t="s">
        <v>32</v>
      </c>
      <c r="S2" s="4" t="s">
        <v>33</v>
      </c>
      <c r="T2" s="4" t="s">
        <v>34</v>
      </c>
      <c r="U2" s="4" t="s">
        <v>35</v>
      </c>
      <c r="V2" s="4" t="s">
        <v>36</v>
      </c>
      <c r="W2" s="4" t="s">
        <v>37</v>
      </c>
      <c r="X2" s="4" t="s">
        <v>38</v>
      </c>
      <c r="Y2" s="4" t="s">
        <v>60</v>
      </c>
    </row>
    <row r="3" spans="1:25" ht="276">
      <c r="A3" s="6" t="s">
        <v>39</v>
      </c>
      <c r="B3" s="7" t="s">
        <v>63</v>
      </c>
      <c r="C3" s="7" t="s">
        <v>64</v>
      </c>
      <c r="D3" s="6" t="s">
        <v>65</v>
      </c>
      <c r="E3" s="6" t="s">
        <v>66</v>
      </c>
      <c r="F3" s="6" t="s">
        <v>40</v>
      </c>
      <c r="G3" s="6" t="s">
        <v>55</v>
      </c>
      <c r="H3" s="6" t="s">
        <v>67</v>
      </c>
      <c r="I3" s="7" t="s">
        <v>70</v>
      </c>
      <c r="J3" s="7" t="s">
        <v>68</v>
      </c>
      <c r="K3" s="6">
        <v>6</v>
      </c>
      <c r="L3" s="6" t="s">
        <v>43</v>
      </c>
      <c r="M3" s="31" t="s">
        <v>461</v>
      </c>
      <c r="N3" s="26" t="s">
        <v>461</v>
      </c>
      <c r="O3" s="9">
        <v>1</v>
      </c>
      <c r="P3" s="31" t="s">
        <v>461</v>
      </c>
      <c r="Q3" s="26" t="s">
        <v>461</v>
      </c>
      <c r="R3" s="6" t="s">
        <v>71</v>
      </c>
      <c r="S3" s="26" t="s">
        <v>461</v>
      </c>
      <c r="T3" s="10" t="s">
        <v>72</v>
      </c>
      <c r="U3" s="10" t="s">
        <v>73</v>
      </c>
      <c r="V3" s="6" t="s">
        <v>59</v>
      </c>
      <c r="W3" s="26" t="s">
        <v>461</v>
      </c>
      <c r="X3" s="6" t="s">
        <v>74</v>
      </c>
    </row>
    <row r="4" spans="1:25" ht="248.4" hidden="1">
      <c r="A4" s="11" t="s">
        <v>44</v>
      </c>
      <c r="B4" s="12" t="s">
        <v>63</v>
      </c>
      <c r="C4" s="12" t="s">
        <v>64</v>
      </c>
      <c r="D4" s="11" t="s">
        <v>65</v>
      </c>
      <c r="E4" s="11" t="s">
        <v>75</v>
      </c>
      <c r="F4" s="11" t="s">
        <v>45</v>
      </c>
      <c r="G4" s="11" t="s">
        <v>57</v>
      </c>
      <c r="H4" s="11" t="s">
        <v>67</v>
      </c>
      <c r="I4" s="12" t="s">
        <v>76</v>
      </c>
      <c r="J4" s="12" t="s">
        <v>77</v>
      </c>
      <c r="K4" s="11">
        <v>6</v>
      </c>
      <c r="L4" s="11" t="s">
        <v>46</v>
      </c>
      <c r="M4" s="13"/>
      <c r="N4" s="11"/>
      <c r="O4" s="14"/>
      <c r="P4" s="13"/>
      <c r="Q4" s="11"/>
      <c r="R4" s="11" t="s">
        <v>71</v>
      </c>
      <c r="S4" s="11"/>
      <c r="T4" s="15" t="s">
        <v>78</v>
      </c>
      <c r="U4" s="15" t="s">
        <v>79</v>
      </c>
      <c r="V4" s="15"/>
      <c r="W4" s="11"/>
      <c r="X4" s="11"/>
      <c r="Y4" s="54"/>
    </row>
    <row r="5" spans="1:25" ht="220.8">
      <c r="A5" s="6" t="s">
        <v>39</v>
      </c>
      <c r="B5" s="7" t="s">
        <v>63</v>
      </c>
      <c r="C5" s="7" t="s">
        <v>80</v>
      </c>
      <c r="D5" s="6" t="s">
        <v>81</v>
      </c>
      <c r="E5" s="6" t="s">
        <v>82</v>
      </c>
      <c r="F5" s="6" t="s">
        <v>40</v>
      </c>
      <c r="G5" s="6" t="s">
        <v>55</v>
      </c>
      <c r="H5" s="6" t="s">
        <v>49</v>
      </c>
      <c r="I5" s="7" t="s">
        <v>84</v>
      </c>
      <c r="J5" s="7" t="s">
        <v>85</v>
      </c>
      <c r="K5" s="6">
        <v>22</v>
      </c>
      <c r="L5" s="6" t="s">
        <v>43</v>
      </c>
      <c r="M5" s="8">
        <v>35000</v>
      </c>
      <c r="N5" s="6" t="s">
        <v>102</v>
      </c>
      <c r="O5" s="9">
        <v>1</v>
      </c>
      <c r="P5" s="8">
        <v>35000</v>
      </c>
      <c r="Q5" s="6" t="s">
        <v>102</v>
      </c>
      <c r="R5" s="6" t="s">
        <v>86</v>
      </c>
      <c r="S5" s="6" t="s">
        <v>87</v>
      </c>
      <c r="T5" s="10" t="s">
        <v>88</v>
      </c>
      <c r="U5" s="10" t="s">
        <v>89</v>
      </c>
      <c r="V5" s="6" t="s">
        <v>90</v>
      </c>
      <c r="W5" s="6" t="s">
        <v>92</v>
      </c>
      <c r="X5" s="6" t="s">
        <v>58</v>
      </c>
      <c r="Y5" s="6" t="s">
        <v>91</v>
      </c>
    </row>
    <row r="6" spans="1:25" ht="27.6" hidden="1">
      <c r="A6" s="11" t="s">
        <v>44</v>
      </c>
      <c r="B6" s="12"/>
      <c r="C6" s="12"/>
      <c r="D6" s="11"/>
      <c r="E6" s="11"/>
      <c r="F6" s="11" t="s">
        <v>45</v>
      </c>
      <c r="G6" s="11"/>
      <c r="H6" s="11"/>
      <c r="I6" s="12"/>
      <c r="J6" s="12"/>
      <c r="K6" s="11"/>
      <c r="L6" s="11"/>
      <c r="M6" s="13"/>
      <c r="N6" s="11"/>
      <c r="O6" s="14"/>
      <c r="P6" s="13"/>
      <c r="Q6" s="11"/>
      <c r="R6" s="11"/>
      <c r="S6" s="11"/>
      <c r="T6" s="15"/>
      <c r="U6" s="15"/>
      <c r="V6" s="15"/>
      <c r="W6" s="11"/>
      <c r="X6" s="11"/>
    </row>
    <row r="7" spans="1:25" ht="248.4">
      <c r="A7" s="6" t="s">
        <v>39</v>
      </c>
      <c r="B7" s="7" t="s">
        <v>63</v>
      </c>
      <c r="C7" s="7" t="s">
        <v>93</v>
      </c>
      <c r="D7" s="6" t="s">
        <v>94</v>
      </c>
      <c r="E7" s="6" t="s">
        <v>95</v>
      </c>
      <c r="F7" s="6" t="s">
        <v>40</v>
      </c>
      <c r="G7" s="6" t="s">
        <v>96</v>
      </c>
      <c r="H7" s="6" t="s">
        <v>94</v>
      </c>
      <c r="I7" s="7" t="s">
        <v>83</v>
      </c>
      <c r="J7" s="7" t="s">
        <v>69</v>
      </c>
      <c r="K7" s="6">
        <v>9</v>
      </c>
      <c r="L7" s="6" t="s">
        <v>43</v>
      </c>
      <c r="M7" s="8">
        <v>18000</v>
      </c>
      <c r="N7" s="6" t="s">
        <v>97</v>
      </c>
      <c r="O7" s="9">
        <v>0.5</v>
      </c>
      <c r="P7" s="8">
        <v>18000</v>
      </c>
      <c r="Q7" s="6" t="s">
        <v>97</v>
      </c>
      <c r="R7" s="6" t="s">
        <v>98</v>
      </c>
      <c r="S7" s="6" t="s">
        <v>99</v>
      </c>
      <c r="T7" s="10" t="s">
        <v>100</v>
      </c>
      <c r="U7" s="10" t="s">
        <v>101</v>
      </c>
      <c r="V7" s="6">
        <v>0.22500000000000001</v>
      </c>
      <c r="W7" s="8">
        <v>25252568.52</v>
      </c>
      <c r="X7" s="6" t="s">
        <v>58</v>
      </c>
      <c r="Y7" s="6" t="s">
        <v>103</v>
      </c>
    </row>
    <row r="8" spans="1:25" ht="27.6" hidden="1">
      <c r="A8" s="11" t="s">
        <v>44</v>
      </c>
      <c r="B8" s="12"/>
      <c r="C8" s="12"/>
      <c r="D8" s="11"/>
      <c r="E8" s="11"/>
      <c r="F8" s="11" t="s">
        <v>45</v>
      </c>
      <c r="G8" s="11"/>
      <c r="H8" s="11"/>
      <c r="I8" s="12"/>
      <c r="J8" s="12"/>
      <c r="K8" s="11"/>
      <c r="L8" s="11"/>
      <c r="M8" s="13"/>
      <c r="N8" s="11"/>
      <c r="O8" s="14"/>
      <c r="P8" s="13"/>
      <c r="Q8" s="11"/>
      <c r="R8" s="11"/>
      <c r="S8" s="11"/>
      <c r="T8" s="15"/>
      <c r="U8" s="15"/>
      <c r="V8" s="15"/>
      <c r="W8" s="11"/>
      <c r="X8" s="11"/>
    </row>
    <row r="9" spans="1:25" ht="289.8">
      <c r="A9" s="6" t="s">
        <v>39</v>
      </c>
      <c r="B9" s="7" t="s">
        <v>63</v>
      </c>
      <c r="C9" s="7" t="s">
        <v>104</v>
      </c>
      <c r="D9" s="6" t="s">
        <v>105</v>
      </c>
      <c r="E9" s="6" t="s">
        <v>106</v>
      </c>
      <c r="F9" s="6" t="s">
        <v>40</v>
      </c>
      <c r="G9" s="6" t="s">
        <v>55</v>
      </c>
      <c r="H9" s="6" t="s">
        <v>105</v>
      </c>
      <c r="I9" s="7" t="s">
        <v>83</v>
      </c>
      <c r="J9" s="7" t="s">
        <v>83</v>
      </c>
      <c r="K9" s="6">
        <v>1</v>
      </c>
      <c r="L9" s="6" t="s">
        <v>43</v>
      </c>
      <c r="M9" s="8">
        <v>10900</v>
      </c>
      <c r="N9" s="6" t="s">
        <v>107</v>
      </c>
      <c r="O9" s="9">
        <v>1</v>
      </c>
      <c r="P9" s="8">
        <v>10900</v>
      </c>
      <c r="Q9" s="6" t="s">
        <v>107</v>
      </c>
      <c r="R9" s="6" t="s">
        <v>108</v>
      </c>
      <c r="S9" s="6" t="s">
        <v>109</v>
      </c>
      <c r="T9" s="10" t="s">
        <v>110</v>
      </c>
      <c r="U9" s="10" t="s">
        <v>111</v>
      </c>
      <c r="V9" s="6" t="s">
        <v>59</v>
      </c>
      <c r="W9" s="8">
        <v>10900</v>
      </c>
      <c r="X9" s="6" t="s">
        <v>74</v>
      </c>
      <c r="Y9" s="6" t="s">
        <v>112</v>
      </c>
    </row>
    <row r="10" spans="1:25" hidden="1">
      <c r="A10" s="11" t="s">
        <v>44</v>
      </c>
      <c r="B10" s="12"/>
      <c r="C10" s="12"/>
      <c r="D10" s="11"/>
      <c r="E10" s="11"/>
      <c r="F10" s="11"/>
      <c r="G10" s="11"/>
      <c r="H10" s="11"/>
      <c r="I10" s="12"/>
      <c r="J10" s="12"/>
      <c r="K10" s="11"/>
      <c r="L10" s="11"/>
      <c r="M10" s="13"/>
      <c r="N10" s="11"/>
      <c r="O10" s="14"/>
      <c r="P10" s="13"/>
      <c r="Q10" s="11"/>
      <c r="R10" s="11"/>
      <c r="S10" s="11"/>
      <c r="T10" s="15"/>
      <c r="U10" s="15"/>
      <c r="V10" s="15"/>
      <c r="W10" s="11"/>
      <c r="X10" s="11"/>
    </row>
    <row r="11" spans="1:25" s="42" customFormat="1" ht="409.6">
      <c r="A11" s="37" t="s">
        <v>39</v>
      </c>
      <c r="B11" s="38" t="s">
        <v>63</v>
      </c>
      <c r="C11" s="38" t="s">
        <v>113</v>
      </c>
      <c r="D11" s="37" t="s">
        <v>3112</v>
      </c>
      <c r="E11" s="37" t="s">
        <v>3113</v>
      </c>
      <c r="F11" s="37" t="s">
        <v>1278</v>
      </c>
      <c r="G11" s="37" t="s">
        <v>55</v>
      </c>
      <c r="H11" s="37" t="s">
        <v>158</v>
      </c>
      <c r="I11" s="38" t="s">
        <v>3114</v>
      </c>
      <c r="J11" s="38" t="s">
        <v>377</v>
      </c>
      <c r="K11" s="37">
        <v>36</v>
      </c>
      <c r="L11" s="37" t="s">
        <v>43</v>
      </c>
      <c r="M11" s="39">
        <v>338574</v>
      </c>
      <c r="N11" s="37" t="s">
        <v>3115</v>
      </c>
      <c r="O11" s="40">
        <v>1</v>
      </c>
      <c r="P11" s="39">
        <v>338574</v>
      </c>
      <c r="Q11" s="37" t="s">
        <v>3115</v>
      </c>
      <c r="R11" s="37" t="s">
        <v>1509</v>
      </c>
      <c r="S11" s="37" t="s">
        <v>3116</v>
      </c>
      <c r="T11" s="41" t="s">
        <v>3117</v>
      </c>
      <c r="U11" s="41" t="s">
        <v>3118</v>
      </c>
      <c r="V11" s="37" t="s">
        <v>59</v>
      </c>
      <c r="W11" s="39">
        <v>338574</v>
      </c>
      <c r="X11" s="37" t="s">
        <v>58</v>
      </c>
      <c r="Y11" s="37"/>
    </row>
    <row r="12" spans="1:25" ht="124.2">
      <c r="A12" s="6" t="s">
        <v>39</v>
      </c>
      <c r="B12" s="7" t="s">
        <v>63</v>
      </c>
      <c r="C12" s="7" t="s">
        <v>167</v>
      </c>
      <c r="D12" s="6" t="s">
        <v>3119</v>
      </c>
      <c r="E12" s="6" t="s">
        <v>3120</v>
      </c>
      <c r="F12" s="6" t="s">
        <v>40</v>
      </c>
      <c r="G12" s="6" t="s">
        <v>96</v>
      </c>
      <c r="H12" s="6" t="s">
        <v>3121</v>
      </c>
      <c r="I12" s="7" t="s">
        <v>83</v>
      </c>
      <c r="J12" s="7" t="s">
        <v>3122</v>
      </c>
      <c r="K12" s="6">
        <v>2</v>
      </c>
      <c r="L12" s="6" t="s">
        <v>43</v>
      </c>
      <c r="M12" s="8">
        <v>18000</v>
      </c>
      <c r="N12" s="6" t="s">
        <v>3123</v>
      </c>
      <c r="O12" s="36">
        <v>1</v>
      </c>
      <c r="P12" s="8">
        <v>18000</v>
      </c>
      <c r="Q12" s="6" t="s">
        <v>3123</v>
      </c>
      <c r="R12" s="6" t="s">
        <v>196</v>
      </c>
      <c r="S12" s="6" t="s">
        <v>3124</v>
      </c>
      <c r="T12" s="10" t="s">
        <v>3125</v>
      </c>
      <c r="U12" s="10" t="s">
        <v>3126</v>
      </c>
      <c r="V12" s="6" t="s">
        <v>59</v>
      </c>
      <c r="W12" s="8">
        <v>18000</v>
      </c>
      <c r="X12" s="6" t="s">
        <v>58</v>
      </c>
      <c r="Y12" s="6" t="s">
        <v>3127</v>
      </c>
    </row>
    <row r="13" spans="1:25" s="42" customFormat="1" ht="151.80000000000001">
      <c r="A13" s="37" t="s">
        <v>39</v>
      </c>
      <c r="B13" s="38" t="s">
        <v>63</v>
      </c>
      <c r="C13" s="38" t="s">
        <v>176</v>
      </c>
      <c r="D13" s="37" t="s">
        <v>3128</v>
      </c>
      <c r="E13" s="37" t="s">
        <v>3129</v>
      </c>
      <c r="F13" s="37" t="s">
        <v>1278</v>
      </c>
      <c r="G13" s="37" t="s">
        <v>3128</v>
      </c>
      <c r="H13" s="37" t="s">
        <v>3136</v>
      </c>
      <c r="I13" s="38" t="s">
        <v>3130</v>
      </c>
      <c r="J13" s="38" t="s">
        <v>3130</v>
      </c>
      <c r="K13" s="37" t="s">
        <v>1611</v>
      </c>
      <c r="L13" s="37" t="s">
        <v>43</v>
      </c>
      <c r="M13" s="39">
        <v>5899.28</v>
      </c>
      <c r="N13" s="37" t="s">
        <v>3131</v>
      </c>
      <c r="O13" s="40">
        <v>1</v>
      </c>
      <c r="P13" s="39">
        <v>5899.28</v>
      </c>
      <c r="Q13" s="37" t="s">
        <v>3131</v>
      </c>
      <c r="R13" s="37" t="s">
        <v>3132</v>
      </c>
      <c r="S13" s="37" t="s">
        <v>3133</v>
      </c>
      <c r="T13" s="41" t="s">
        <v>3134</v>
      </c>
      <c r="U13" s="41" t="s">
        <v>3135</v>
      </c>
      <c r="V13" s="37" t="s">
        <v>59</v>
      </c>
      <c r="W13" s="39">
        <v>5899.28</v>
      </c>
      <c r="X13" s="37" t="s">
        <v>58</v>
      </c>
      <c r="Y13" s="37"/>
    </row>
    <row r="14" spans="1:25" s="44" customFormat="1" ht="386.4">
      <c r="A14" s="37" t="s">
        <v>39</v>
      </c>
      <c r="B14" s="38" t="s">
        <v>63</v>
      </c>
      <c r="C14" s="38" t="s">
        <v>183</v>
      </c>
      <c r="D14" s="37" t="s">
        <v>3137</v>
      </c>
      <c r="E14" s="37" t="s">
        <v>3138</v>
      </c>
      <c r="F14" s="37" t="s">
        <v>2880</v>
      </c>
      <c r="G14" s="37" t="s">
        <v>55</v>
      </c>
      <c r="H14" s="37" t="s">
        <v>128</v>
      </c>
      <c r="I14" s="38" t="s">
        <v>3130</v>
      </c>
      <c r="J14" s="38" t="s">
        <v>160</v>
      </c>
      <c r="K14" s="37">
        <v>13</v>
      </c>
      <c r="L14" s="37" t="s">
        <v>289</v>
      </c>
      <c r="M14" s="39">
        <v>252000</v>
      </c>
      <c r="N14" s="37" t="s">
        <v>3139</v>
      </c>
      <c r="O14" s="40">
        <v>1</v>
      </c>
      <c r="P14" s="39">
        <v>252000</v>
      </c>
      <c r="Q14" s="37" t="s">
        <v>3139</v>
      </c>
      <c r="R14" s="37" t="s">
        <v>171</v>
      </c>
      <c r="S14" s="37" t="s">
        <v>3140</v>
      </c>
      <c r="T14" s="41" t="s">
        <v>3141</v>
      </c>
      <c r="U14" s="41" t="s">
        <v>3142</v>
      </c>
      <c r="V14" s="37">
        <v>5</v>
      </c>
      <c r="W14" s="39">
        <v>252000</v>
      </c>
      <c r="X14" s="37" t="s">
        <v>58</v>
      </c>
      <c r="Y14" s="37"/>
    </row>
    <row r="15" spans="1:25" ht="331.2">
      <c r="A15" s="6" t="s">
        <v>39</v>
      </c>
      <c r="B15" s="7" t="s">
        <v>63</v>
      </c>
      <c r="C15" s="7" t="s">
        <v>114</v>
      </c>
      <c r="D15" s="6" t="s">
        <v>115</v>
      </c>
      <c r="E15" s="6" t="s">
        <v>116</v>
      </c>
      <c r="F15" s="6" t="s">
        <v>40</v>
      </c>
      <c r="G15" s="6" t="s">
        <v>55</v>
      </c>
      <c r="H15" s="6" t="s">
        <v>117</v>
      </c>
      <c r="I15" s="7" t="s">
        <v>69</v>
      </c>
      <c r="J15" s="7" t="s">
        <v>118</v>
      </c>
      <c r="K15" s="6">
        <v>4</v>
      </c>
      <c r="L15" s="6" t="s">
        <v>43</v>
      </c>
      <c r="M15" s="8">
        <v>6890.96</v>
      </c>
      <c r="N15" s="6" t="s">
        <v>119</v>
      </c>
      <c r="O15" s="9">
        <v>1</v>
      </c>
      <c r="P15" s="8">
        <v>6890.96</v>
      </c>
      <c r="Q15" s="6" t="s">
        <v>119</v>
      </c>
      <c r="R15" s="6" t="s">
        <v>120</v>
      </c>
      <c r="S15" s="6" t="s">
        <v>121</v>
      </c>
      <c r="T15" s="10" t="s">
        <v>122</v>
      </c>
      <c r="U15" s="10" t="s">
        <v>123</v>
      </c>
      <c r="V15" s="6" t="s">
        <v>59</v>
      </c>
      <c r="W15" s="8">
        <v>6890.96</v>
      </c>
      <c r="X15" s="6" t="s">
        <v>58</v>
      </c>
      <c r="Y15" s="6" t="s">
        <v>124</v>
      </c>
    </row>
    <row r="16" spans="1:25" ht="331.2">
      <c r="A16" s="6" t="s">
        <v>39</v>
      </c>
      <c r="B16" s="7" t="s">
        <v>63</v>
      </c>
      <c r="C16" s="7" t="s">
        <v>125</v>
      </c>
      <c r="D16" s="6" t="s">
        <v>126</v>
      </c>
      <c r="E16" s="6" t="s">
        <v>127</v>
      </c>
      <c r="F16" s="6" t="s">
        <v>40</v>
      </c>
      <c r="G16" s="6" t="s">
        <v>55</v>
      </c>
      <c r="H16" s="6" t="s">
        <v>128</v>
      </c>
      <c r="I16" s="7" t="s">
        <v>129</v>
      </c>
      <c r="J16" s="7" t="s">
        <v>69</v>
      </c>
      <c r="K16" s="6">
        <v>2</v>
      </c>
      <c r="L16" s="6" t="s">
        <v>43</v>
      </c>
      <c r="M16" s="8">
        <v>7000</v>
      </c>
      <c r="N16" s="6" t="s">
        <v>130</v>
      </c>
      <c r="O16" s="9">
        <v>1</v>
      </c>
      <c r="P16" s="8">
        <v>7000</v>
      </c>
      <c r="Q16" s="6" t="s">
        <v>130</v>
      </c>
      <c r="R16" s="6" t="s">
        <v>126</v>
      </c>
      <c r="S16" s="6" t="s">
        <v>131</v>
      </c>
      <c r="T16" s="10" t="s">
        <v>132</v>
      </c>
      <c r="U16" s="10" t="s">
        <v>133</v>
      </c>
      <c r="V16" s="6" t="s">
        <v>59</v>
      </c>
      <c r="W16" s="8">
        <v>3922260.89</v>
      </c>
      <c r="X16" s="6" t="s">
        <v>58</v>
      </c>
    </row>
    <row r="17" spans="1:25" ht="317.39999999999998">
      <c r="A17" s="6" t="s">
        <v>39</v>
      </c>
      <c r="B17" s="7" t="s">
        <v>63</v>
      </c>
      <c r="C17" s="7" t="s">
        <v>134</v>
      </c>
      <c r="D17" s="6" t="s">
        <v>135</v>
      </c>
      <c r="E17" s="6" t="s">
        <v>136</v>
      </c>
      <c r="F17" s="6" t="s">
        <v>40</v>
      </c>
      <c r="G17" s="6" t="s">
        <v>55</v>
      </c>
      <c r="H17" s="6" t="s">
        <v>137</v>
      </c>
      <c r="I17" s="7" t="s">
        <v>69</v>
      </c>
      <c r="J17" s="7" t="s">
        <v>144</v>
      </c>
      <c r="K17" s="6">
        <v>9</v>
      </c>
      <c r="L17" s="6" t="s">
        <v>43</v>
      </c>
      <c r="M17" s="8">
        <v>10000</v>
      </c>
      <c r="N17" s="6" t="s">
        <v>142</v>
      </c>
      <c r="O17" s="9">
        <v>1</v>
      </c>
      <c r="P17" s="8">
        <v>10000</v>
      </c>
      <c r="Q17" s="6" t="s">
        <v>142</v>
      </c>
      <c r="R17" s="6" t="s">
        <v>138</v>
      </c>
      <c r="S17" s="6" t="s">
        <v>139</v>
      </c>
      <c r="T17" s="10" t="s">
        <v>140</v>
      </c>
      <c r="U17" s="10" t="s">
        <v>141</v>
      </c>
      <c r="V17" s="6" t="s">
        <v>59</v>
      </c>
      <c r="W17" s="8">
        <v>10000</v>
      </c>
      <c r="X17" s="6" t="s">
        <v>74</v>
      </c>
      <c r="Y17" s="6" t="s">
        <v>143</v>
      </c>
    </row>
    <row r="18" spans="1:25" hidden="1">
      <c r="A18" s="11" t="s">
        <v>44</v>
      </c>
      <c r="B18" s="12"/>
      <c r="C18" s="12"/>
      <c r="D18" s="11"/>
      <c r="E18" s="11"/>
      <c r="F18" s="11"/>
      <c r="G18" s="11"/>
      <c r="H18" s="11"/>
      <c r="I18" s="12"/>
      <c r="J18" s="12"/>
      <c r="K18" s="11"/>
      <c r="L18" s="11"/>
      <c r="M18" s="13"/>
      <c r="N18" s="11"/>
      <c r="O18" s="14"/>
      <c r="P18" s="13"/>
      <c r="Q18" s="11"/>
      <c r="R18" s="11"/>
      <c r="S18" s="11"/>
      <c r="T18" s="15"/>
      <c r="U18" s="15"/>
      <c r="V18" s="15"/>
      <c r="W18" s="11"/>
      <c r="X18" s="11"/>
    </row>
    <row r="19" spans="1:25" s="42" customFormat="1" ht="409.6">
      <c r="A19" s="37" t="s">
        <v>39</v>
      </c>
      <c r="B19" s="38" t="s">
        <v>63</v>
      </c>
      <c r="C19" s="38" t="s">
        <v>191</v>
      </c>
      <c r="D19" s="37" t="s">
        <v>3143</v>
      </c>
      <c r="E19" s="37" t="s">
        <v>3144</v>
      </c>
      <c r="F19" s="37" t="s">
        <v>1278</v>
      </c>
      <c r="G19" s="37" t="s">
        <v>55</v>
      </c>
      <c r="H19" s="37" t="s">
        <v>158</v>
      </c>
      <c r="I19" s="38" t="s">
        <v>68</v>
      </c>
      <c r="J19" s="38" t="s">
        <v>3146</v>
      </c>
      <c r="K19" s="37" t="s">
        <v>3145</v>
      </c>
      <c r="L19" s="37" t="s">
        <v>43</v>
      </c>
      <c r="M19" s="39">
        <v>21490</v>
      </c>
      <c r="N19" s="37" t="s">
        <v>3147</v>
      </c>
      <c r="O19" s="40">
        <v>1</v>
      </c>
      <c r="P19" s="39">
        <v>21490</v>
      </c>
      <c r="Q19" s="37" t="s">
        <v>3147</v>
      </c>
      <c r="R19" s="37" t="s">
        <v>1509</v>
      </c>
      <c r="S19" s="37" t="s">
        <v>3148</v>
      </c>
      <c r="T19" s="41" t="s">
        <v>3149</v>
      </c>
      <c r="U19" s="41" t="s">
        <v>3150</v>
      </c>
      <c r="V19" s="37" t="s">
        <v>59</v>
      </c>
      <c r="W19" s="39">
        <v>21490</v>
      </c>
      <c r="X19" s="37" t="s">
        <v>58</v>
      </c>
      <c r="Y19" s="37"/>
    </row>
    <row r="20" spans="1:25" s="44" customFormat="1" ht="151.80000000000001">
      <c r="A20" s="37" t="s">
        <v>39</v>
      </c>
      <c r="B20" s="38" t="s">
        <v>145</v>
      </c>
      <c r="C20" s="38" t="s">
        <v>80</v>
      </c>
      <c r="D20" s="37" t="s">
        <v>3151</v>
      </c>
      <c r="E20" s="37" t="s">
        <v>3152</v>
      </c>
      <c r="F20" s="37" t="s">
        <v>2880</v>
      </c>
      <c r="G20" s="37" t="s">
        <v>55</v>
      </c>
      <c r="H20" s="37" t="s">
        <v>49</v>
      </c>
      <c r="I20" s="38" t="s">
        <v>3146</v>
      </c>
      <c r="J20" s="38" t="s">
        <v>3153</v>
      </c>
      <c r="K20" s="37">
        <v>12</v>
      </c>
      <c r="L20" s="37" t="s">
        <v>2906</v>
      </c>
      <c r="M20" s="39">
        <v>47200</v>
      </c>
      <c r="N20" s="37" t="s">
        <v>3155</v>
      </c>
      <c r="O20" s="40">
        <v>1</v>
      </c>
      <c r="P20" s="39">
        <v>47200</v>
      </c>
      <c r="Q20" s="37" t="s">
        <v>3155</v>
      </c>
      <c r="R20" s="37" t="s">
        <v>3154</v>
      </c>
      <c r="S20" s="37" t="s">
        <v>3156</v>
      </c>
      <c r="T20" s="41" t="s">
        <v>3158</v>
      </c>
      <c r="U20" s="41" t="s">
        <v>3157</v>
      </c>
      <c r="V20" s="37" t="s">
        <v>59</v>
      </c>
      <c r="W20" s="45" t="s">
        <v>461</v>
      </c>
      <c r="X20" s="37" t="s">
        <v>58</v>
      </c>
      <c r="Y20" s="37"/>
    </row>
    <row r="21" spans="1:25" ht="358.8">
      <c r="A21" s="6" t="s">
        <v>39</v>
      </c>
      <c r="B21" s="7" t="s">
        <v>145</v>
      </c>
      <c r="C21" s="7" t="s">
        <v>93</v>
      </c>
      <c r="D21" s="6" t="s">
        <v>146</v>
      </c>
      <c r="E21" s="6" t="s">
        <v>150</v>
      </c>
      <c r="F21" s="6" t="s">
        <v>40</v>
      </c>
      <c r="G21" s="6" t="s">
        <v>55</v>
      </c>
      <c r="H21" s="6" t="s">
        <v>147</v>
      </c>
      <c r="I21" s="7" t="s">
        <v>118</v>
      </c>
      <c r="J21" s="7" t="s">
        <v>148</v>
      </c>
      <c r="K21" s="6">
        <v>9</v>
      </c>
      <c r="L21" s="6" t="s">
        <v>43</v>
      </c>
      <c r="M21" s="8">
        <v>4500</v>
      </c>
      <c r="N21" s="6" t="s">
        <v>149</v>
      </c>
      <c r="O21" s="9">
        <v>1</v>
      </c>
      <c r="P21" s="8">
        <v>4500</v>
      </c>
      <c r="Q21" s="6" t="s">
        <v>149</v>
      </c>
      <c r="R21" s="6" t="s">
        <v>151</v>
      </c>
      <c r="S21" s="6" t="s">
        <v>152</v>
      </c>
      <c r="T21" s="10" t="s">
        <v>153</v>
      </c>
      <c r="U21" s="10" t="s">
        <v>154</v>
      </c>
      <c r="V21" s="6" t="s">
        <v>59</v>
      </c>
      <c r="W21" s="8">
        <v>4500</v>
      </c>
      <c r="X21" s="6" t="s">
        <v>74</v>
      </c>
      <c r="Y21" s="6" t="s">
        <v>155</v>
      </c>
    </row>
    <row r="22" spans="1:25" hidden="1">
      <c r="A22" s="11" t="s">
        <v>44</v>
      </c>
      <c r="B22" s="12"/>
      <c r="C22" s="12"/>
      <c r="D22" s="11"/>
      <c r="E22" s="11"/>
      <c r="F22" s="11"/>
      <c r="G22" s="11"/>
      <c r="H22" s="11"/>
      <c r="I22" s="12"/>
      <c r="J22" s="12"/>
      <c r="K22" s="11"/>
      <c r="L22" s="11"/>
      <c r="M22" s="13"/>
      <c r="N22" s="11"/>
      <c r="O22" s="14"/>
      <c r="P22" s="13"/>
      <c r="Q22" s="11"/>
      <c r="R22" s="11"/>
      <c r="S22" s="11"/>
      <c r="T22" s="15"/>
      <c r="U22" s="15"/>
      <c r="V22" s="15"/>
      <c r="W22" s="11"/>
      <c r="X22" s="11"/>
    </row>
    <row r="23" spans="1:25" s="44" customFormat="1" ht="345">
      <c r="A23" s="37" t="s">
        <v>39</v>
      </c>
      <c r="B23" s="38" t="s">
        <v>145</v>
      </c>
      <c r="C23" s="38" t="s">
        <v>104</v>
      </c>
      <c r="D23" s="37" t="s">
        <v>3159</v>
      </c>
      <c r="E23" s="37" t="s">
        <v>3160</v>
      </c>
      <c r="F23" s="37" t="s">
        <v>2880</v>
      </c>
      <c r="G23" s="37" t="s">
        <v>55</v>
      </c>
      <c r="H23" s="37" t="s">
        <v>613</v>
      </c>
      <c r="I23" s="38" t="s">
        <v>118</v>
      </c>
      <c r="J23" s="38" t="s">
        <v>3164</v>
      </c>
      <c r="K23" s="37">
        <v>7</v>
      </c>
      <c r="L23" s="37" t="s">
        <v>289</v>
      </c>
      <c r="M23" s="39">
        <v>41737.75</v>
      </c>
      <c r="N23" s="37" t="s">
        <v>3161</v>
      </c>
      <c r="O23" s="40">
        <v>1</v>
      </c>
      <c r="P23" s="39">
        <v>41737.75</v>
      </c>
      <c r="Q23" s="37" t="s">
        <v>3161</v>
      </c>
      <c r="R23" s="37" t="s">
        <v>3162</v>
      </c>
      <c r="S23" s="37" t="s">
        <v>3163</v>
      </c>
      <c r="T23" s="41" t="s">
        <v>3165</v>
      </c>
      <c r="U23" s="41" t="s">
        <v>3166</v>
      </c>
      <c r="V23" s="37">
        <v>15</v>
      </c>
      <c r="W23" s="45" t="s">
        <v>461</v>
      </c>
      <c r="X23" s="37" t="s">
        <v>58</v>
      </c>
      <c r="Y23" s="37"/>
    </row>
    <row r="24" spans="1:25" ht="400.2">
      <c r="A24" s="6" t="s">
        <v>39</v>
      </c>
      <c r="B24" s="7" t="s">
        <v>145</v>
      </c>
      <c r="C24" s="7" t="s">
        <v>113</v>
      </c>
      <c r="D24" s="6" t="s">
        <v>156</v>
      </c>
      <c r="E24" s="6" t="s">
        <v>157</v>
      </c>
      <c r="F24" s="6" t="s">
        <v>40</v>
      </c>
      <c r="G24" s="6" t="s">
        <v>55</v>
      </c>
      <c r="H24" s="6" t="s">
        <v>158</v>
      </c>
      <c r="I24" s="7" t="s">
        <v>159</v>
      </c>
      <c r="J24" s="7" t="s">
        <v>160</v>
      </c>
      <c r="K24" s="6">
        <v>2</v>
      </c>
      <c r="L24" s="6" t="s">
        <v>43</v>
      </c>
      <c r="M24" s="8">
        <v>4922</v>
      </c>
      <c r="N24" s="6" t="s">
        <v>161</v>
      </c>
      <c r="O24" s="9">
        <v>1</v>
      </c>
      <c r="P24" s="8">
        <v>4922</v>
      </c>
      <c r="Q24" s="6" t="s">
        <v>161</v>
      </c>
      <c r="R24" s="6" t="s">
        <v>163</v>
      </c>
      <c r="S24" s="6" t="s">
        <v>162</v>
      </c>
      <c r="T24" s="10" t="s">
        <v>164</v>
      </c>
      <c r="U24" s="10" t="s">
        <v>165</v>
      </c>
      <c r="V24" s="6" t="s">
        <v>59</v>
      </c>
      <c r="W24" s="8">
        <v>4922</v>
      </c>
      <c r="X24" s="6" t="s">
        <v>74</v>
      </c>
      <c r="Y24" s="6" t="s">
        <v>166</v>
      </c>
    </row>
    <row r="25" spans="1:25" hidden="1">
      <c r="A25" s="11" t="s">
        <v>44</v>
      </c>
      <c r="B25" s="12"/>
      <c r="C25" s="12"/>
      <c r="D25" s="11"/>
      <c r="E25" s="11"/>
      <c r="F25" s="11"/>
      <c r="G25" s="11"/>
      <c r="H25" s="11"/>
      <c r="I25" s="12"/>
      <c r="J25" s="12"/>
      <c r="K25" s="11"/>
      <c r="L25" s="11"/>
      <c r="M25" s="13"/>
      <c r="N25" s="11"/>
      <c r="O25" s="14"/>
      <c r="P25" s="13"/>
      <c r="Q25" s="11"/>
      <c r="R25" s="11"/>
      <c r="S25" s="11"/>
      <c r="T25" s="15"/>
      <c r="U25" s="15"/>
      <c r="V25" s="15"/>
      <c r="W25" s="11"/>
      <c r="X25" s="11"/>
    </row>
    <row r="26" spans="1:25" ht="289.8">
      <c r="A26" s="6" t="s">
        <v>39</v>
      </c>
      <c r="B26" s="7" t="s">
        <v>145</v>
      </c>
      <c r="C26" s="7" t="s">
        <v>167</v>
      </c>
      <c r="D26" s="6" t="s">
        <v>168</v>
      </c>
      <c r="E26" s="6" t="s">
        <v>169</v>
      </c>
      <c r="F26" s="6" t="s">
        <v>40</v>
      </c>
      <c r="G26" s="6" t="s">
        <v>55</v>
      </c>
      <c r="H26" s="6" t="s">
        <v>56</v>
      </c>
      <c r="I26" s="7" t="s">
        <v>159</v>
      </c>
      <c r="J26" s="7" t="s">
        <v>144</v>
      </c>
      <c r="K26" s="6">
        <v>4</v>
      </c>
      <c r="L26" s="6" t="s">
        <v>43</v>
      </c>
      <c r="M26" s="8">
        <v>6000</v>
      </c>
      <c r="N26" s="6" t="s">
        <v>170</v>
      </c>
      <c r="O26" s="9">
        <v>1</v>
      </c>
      <c r="P26" s="8">
        <v>6000</v>
      </c>
      <c r="Q26" s="6" t="s">
        <v>170</v>
      </c>
      <c r="R26" s="6" t="s">
        <v>171</v>
      </c>
      <c r="S26" s="6" t="s">
        <v>172</v>
      </c>
      <c r="T26" s="10" t="s">
        <v>173</v>
      </c>
      <c r="U26" s="10" t="s">
        <v>174</v>
      </c>
      <c r="V26" s="6">
        <v>7.75</v>
      </c>
      <c r="W26" s="18">
        <v>193687620</v>
      </c>
      <c r="X26" s="6" t="s">
        <v>58</v>
      </c>
      <c r="Y26" s="6" t="s">
        <v>175</v>
      </c>
    </row>
    <row r="27" spans="1:25" hidden="1">
      <c r="A27" s="11" t="s">
        <v>44</v>
      </c>
      <c r="B27" s="12"/>
      <c r="C27" s="12"/>
      <c r="D27" s="11"/>
      <c r="E27" s="11"/>
      <c r="F27" s="11"/>
      <c r="G27" s="11"/>
      <c r="H27" s="11"/>
      <c r="I27" s="12"/>
      <c r="J27" s="12"/>
      <c r="K27" s="11"/>
      <c r="L27" s="11"/>
      <c r="M27" s="13"/>
      <c r="N27" s="11"/>
      <c r="O27" s="14"/>
      <c r="P27" s="13"/>
      <c r="Q27" s="11"/>
      <c r="R27" s="11"/>
      <c r="S27" s="11"/>
      <c r="T27" s="15"/>
      <c r="U27" s="15"/>
      <c r="V27" s="15"/>
      <c r="W27" s="11"/>
      <c r="X27" s="11"/>
    </row>
    <row r="28" spans="1:25" ht="193.2">
      <c r="A28" s="6" t="s">
        <v>39</v>
      </c>
      <c r="B28" s="7" t="s">
        <v>145</v>
      </c>
      <c r="C28" s="7" t="s">
        <v>176</v>
      </c>
      <c r="D28" s="6" t="s">
        <v>177</v>
      </c>
      <c r="E28" s="6" t="s">
        <v>178</v>
      </c>
      <c r="F28" s="6" t="s">
        <v>40</v>
      </c>
      <c r="G28" s="6" t="s">
        <v>55</v>
      </c>
      <c r="H28" s="6" t="s">
        <v>105</v>
      </c>
      <c r="I28" s="7" t="s">
        <v>159</v>
      </c>
      <c r="J28" s="7" t="s">
        <v>144</v>
      </c>
      <c r="K28" s="6">
        <v>4</v>
      </c>
      <c r="L28" s="6" t="s">
        <v>43</v>
      </c>
      <c r="M28" s="8">
        <v>2945</v>
      </c>
      <c r="N28" s="6" t="s">
        <v>200</v>
      </c>
      <c r="O28" s="9">
        <v>1</v>
      </c>
      <c r="P28" s="8">
        <v>2945</v>
      </c>
      <c r="Q28" s="6" t="s">
        <v>200</v>
      </c>
      <c r="R28" s="6" t="s">
        <v>179</v>
      </c>
      <c r="S28" s="6" t="s">
        <v>180</v>
      </c>
      <c r="T28" s="10" t="s">
        <v>181</v>
      </c>
      <c r="U28" s="10" t="s">
        <v>182</v>
      </c>
      <c r="V28" s="6" t="s">
        <v>59</v>
      </c>
      <c r="W28" s="8">
        <v>3416.2</v>
      </c>
      <c r="X28" s="6" t="s">
        <v>74</v>
      </c>
    </row>
    <row r="29" spans="1:25" hidden="1">
      <c r="A29" s="11" t="s">
        <v>44</v>
      </c>
      <c r="B29" s="12"/>
      <c r="C29" s="12"/>
      <c r="D29" s="11"/>
      <c r="E29" s="11"/>
      <c r="F29" s="11"/>
      <c r="G29" s="11"/>
      <c r="H29" s="11"/>
      <c r="I29" s="12"/>
      <c r="J29" s="12"/>
      <c r="K29" s="11"/>
      <c r="L29" s="11"/>
      <c r="M29" s="13"/>
      <c r="N29" s="11"/>
      <c r="O29" s="14"/>
      <c r="P29" s="13"/>
      <c r="Q29" s="11"/>
      <c r="R29" s="11"/>
      <c r="S29" s="11"/>
      <c r="T29" s="15"/>
      <c r="U29" s="15"/>
      <c r="V29" s="15"/>
      <c r="W29" s="11"/>
      <c r="X29" s="11"/>
    </row>
    <row r="30" spans="1:25" ht="317.39999999999998">
      <c r="A30" s="6" t="s">
        <v>39</v>
      </c>
      <c r="B30" s="7" t="s">
        <v>145</v>
      </c>
      <c r="C30" s="7" t="s">
        <v>183</v>
      </c>
      <c r="D30" s="6" t="s">
        <v>184</v>
      </c>
      <c r="E30" s="6" t="s">
        <v>185</v>
      </c>
      <c r="F30" s="6" t="s">
        <v>40</v>
      </c>
      <c r="G30" s="6" t="s">
        <v>55</v>
      </c>
      <c r="H30" s="6" t="s">
        <v>158</v>
      </c>
      <c r="I30" s="7" t="s">
        <v>160</v>
      </c>
      <c r="J30" s="7" t="s">
        <v>144</v>
      </c>
      <c r="K30" s="6">
        <v>3</v>
      </c>
      <c r="L30" s="6" t="s">
        <v>43</v>
      </c>
      <c r="M30" s="8">
        <v>11300</v>
      </c>
      <c r="N30" s="6" t="s">
        <v>186</v>
      </c>
      <c r="O30" s="9">
        <v>1</v>
      </c>
      <c r="P30" s="8">
        <v>11300</v>
      </c>
      <c r="Q30" s="6" t="s">
        <v>186</v>
      </c>
      <c r="R30" s="6" t="s">
        <v>187</v>
      </c>
      <c r="S30" s="6" t="s">
        <v>162</v>
      </c>
      <c r="T30" s="10" t="s">
        <v>188</v>
      </c>
      <c r="U30" s="10" t="s">
        <v>189</v>
      </c>
      <c r="V30" s="6" t="s">
        <v>59</v>
      </c>
      <c r="W30" s="8">
        <v>11300</v>
      </c>
      <c r="X30" s="6" t="s">
        <v>58</v>
      </c>
      <c r="Y30" s="6" t="s">
        <v>190</v>
      </c>
    </row>
    <row r="31" spans="1:25" hidden="1">
      <c r="A31" s="11" t="s">
        <v>44</v>
      </c>
      <c r="B31" s="12"/>
      <c r="C31" s="12"/>
      <c r="D31" s="11"/>
      <c r="E31" s="11"/>
      <c r="F31" s="11"/>
      <c r="G31" s="11"/>
      <c r="H31" s="11"/>
      <c r="I31" s="12"/>
      <c r="J31" s="12"/>
      <c r="K31" s="11"/>
      <c r="L31" s="11"/>
      <c r="M31" s="13"/>
      <c r="N31" s="11"/>
      <c r="O31" s="14"/>
      <c r="P31" s="13"/>
      <c r="Q31" s="11"/>
      <c r="R31" s="11"/>
      <c r="S31" s="11"/>
      <c r="T31" s="15"/>
      <c r="U31" s="15"/>
      <c r="V31" s="15"/>
      <c r="W31" s="11"/>
      <c r="X31" s="11"/>
    </row>
    <row r="32" spans="1:25" s="42" customFormat="1" ht="303.60000000000002">
      <c r="A32" s="37" t="s">
        <v>39</v>
      </c>
      <c r="B32" s="38" t="s">
        <v>145</v>
      </c>
      <c r="C32" s="38" t="s">
        <v>114</v>
      </c>
      <c r="D32" s="37" t="s">
        <v>3167</v>
      </c>
      <c r="E32" s="37" t="s">
        <v>3168</v>
      </c>
      <c r="F32" s="37" t="s">
        <v>1278</v>
      </c>
      <c r="G32" s="37" t="s">
        <v>55</v>
      </c>
      <c r="H32" s="37" t="s">
        <v>158</v>
      </c>
      <c r="I32" s="38" t="s">
        <v>3169</v>
      </c>
      <c r="J32" s="38" t="s">
        <v>144</v>
      </c>
      <c r="K32" s="37">
        <v>2</v>
      </c>
      <c r="L32" s="37" t="s">
        <v>43</v>
      </c>
      <c r="M32" s="39">
        <v>8300</v>
      </c>
      <c r="N32" s="37" t="s">
        <v>3170</v>
      </c>
      <c r="O32" s="40">
        <v>1</v>
      </c>
      <c r="P32" s="39">
        <v>8300</v>
      </c>
      <c r="Q32" s="37" t="s">
        <v>3170</v>
      </c>
      <c r="R32" s="37" t="s">
        <v>1509</v>
      </c>
      <c r="S32" s="37" t="s">
        <v>3171</v>
      </c>
      <c r="T32" s="41" t="s">
        <v>3172</v>
      </c>
      <c r="U32" s="41" t="s">
        <v>3173</v>
      </c>
      <c r="V32" s="37" t="s">
        <v>59</v>
      </c>
      <c r="W32" s="39">
        <v>8300</v>
      </c>
      <c r="X32" s="37" t="s">
        <v>58</v>
      </c>
      <c r="Y32" s="37"/>
    </row>
    <row r="33" spans="1:25" s="44" customFormat="1" ht="409.6">
      <c r="A33" s="37" t="s">
        <v>39</v>
      </c>
      <c r="B33" s="38" t="s">
        <v>145</v>
      </c>
      <c r="C33" s="38" t="s">
        <v>125</v>
      </c>
      <c r="D33" s="37" t="s">
        <v>3174</v>
      </c>
      <c r="E33" s="37" t="s">
        <v>3175</v>
      </c>
      <c r="F33" s="37" t="s">
        <v>2880</v>
      </c>
      <c r="G33" s="37" t="s">
        <v>55</v>
      </c>
      <c r="H33" s="37" t="s">
        <v>859</v>
      </c>
      <c r="I33" s="38" t="s">
        <v>3176</v>
      </c>
      <c r="J33" s="38" t="s">
        <v>441</v>
      </c>
      <c r="K33" s="37">
        <v>27</v>
      </c>
      <c r="L33" s="37" t="s">
        <v>2906</v>
      </c>
      <c r="M33" s="39">
        <v>49920</v>
      </c>
      <c r="N33" s="37" t="s">
        <v>3177</v>
      </c>
      <c r="O33" s="40">
        <v>1</v>
      </c>
      <c r="P33" s="39">
        <v>108160</v>
      </c>
      <c r="Q33" s="37" t="s">
        <v>3178</v>
      </c>
      <c r="R33" s="37" t="s">
        <v>1509</v>
      </c>
      <c r="S33" s="37" t="s">
        <v>3179</v>
      </c>
      <c r="T33" s="41" t="s">
        <v>3180</v>
      </c>
      <c r="U33" s="41" t="s">
        <v>3181</v>
      </c>
      <c r="V33" s="37" t="s">
        <v>59</v>
      </c>
      <c r="W33" s="39">
        <v>108160</v>
      </c>
      <c r="X33" s="37" t="s">
        <v>3182</v>
      </c>
      <c r="Y33" s="37" t="s">
        <v>3183</v>
      </c>
    </row>
    <row r="34" spans="1:25" ht="82.8">
      <c r="A34" s="6" t="s">
        <v>39</v>
      </c>
      <c r="B34" s="27" t="s">
        <v>145</v>
      </c>
      <c r="C34" s="27" t="s">
        <v>134</v>
      </c>
      <c r="D34" s="6" t="s">
        <v>3184</v>
      </c>
      <c r="E34" s="6" t="s">
        <v>3185</v>
      </c>
      <c r="F34" s="6" t="s">
        <v>40</v>
      </c>
      <c r="G34" s="6" t="s">
        <v>55</v>
      </c>
      <c r="H34" s="6" t="s">
        <v>3184</v>
      </c>
      <c r="I34" s="7" t="s">
        <v>3176</v>
      </c>
      <c r="J34" s="27" t="s">
        <v>461</v>
      </c>
      <c r="K34" s="26" t="s">
        <v>461</v>
      </c>
      <c r="L34" s="6" t="s">
        <v>43</v>
      </c>
      <c r="M34" s="31" t="s">
        <v>461</v>
      </c>
      <c r="N34" s="26" t="s">
        <v>461</v>
      </c>
      <c r="O34" s="46" t="s">
        <v>461</v>
      </c>
      <c r="P34" s="31" t="s">
        <v>461</v>
      </c>
      <c r="Q34" s="26" t="s">
        <v>461</v>
      </c>
      <c r="R34" s="6" t="s">
        <v>3186</v>
      </c>
      <c r="S34" s="6" t="s">
        <v>3187</v>
      </c>
      <c r="T34" s="10" t="s">
        <v>3188</v>
      </c>
      <c r="U34" s="26" t="s">
        <v>461</v>
      </c>
      <c r="V34" s="26" t="s">
        <v>59</v>
      </c>
      <c r="W34" s="26" t="s">
        <v>461</v>
      </c>
      <c r="X34" s="26" t="s">
        <v>461</v>
      </c>
      <c r="Y34" s="47" t="s">
        <v>461</v>
      </c>
    </row>
    <row r="35" spans="1:25" ht="331.2">
      <c r="A35" s="6" t="s">
        <v>39</v>
      </c>
      <c r="B35" s="7" t="s">
        <v>145</v>
      </c>
      <c r="C35" s="7" t="s">
        <v>191</v>
      </c>
      <c r="D35" s="6" t="s">
        <v>3189</v>
      </c>
      <c r="E35" s="6" t="s">
        <v>3190</v>
      </c>
      <c r="F35" s="6" t="s">
        <v>40</v>
      </c>
      <c r="G35" s="6" t="s">
        <v>3191</v>
      </c>
      <c r="H35" s="6" t="s">
        <v>49</v>
      </c>
      <c r="I35" s="7" t="s">
        <v>85</v>
      </c>
      <c r="J35" s="7" t="s">
        <v>85</v>
      </c>
      <c r="K35" s="6">
        <v>1</v>
      </c>
      <c r="L35" s="6" t="s">
        <v>43</v>
      </c>
      <c r="M35" s="8">
        <v>17400</v>
      </c>
      <c r="N35" s="6" t="s">
        <v>3192</v>
      </c>
      <c r="O35" s="36">
        <v>1</v>
      </c>
      <c r="P35" s="8">
        <v>17400</v>
      </c>
      <c r="Q35" s="6" t="s">
        <v>3192</v>
      </c>
      <c r="R35" s="6" t="s">
        <v>3193</v>
      </c>
      <c r="S35" s="6" t="s">
        <v>3194</v>
      </c>
      <c r="T35" s="10" t="s">
        <v>3195</v>
      </c>
      <c r="U35" s="10" t="s">
        <v>3196</v>
      </c>
      <c r="V35" s="6" t="s">
        <v>59</v>
      </c>
      <c r="W35" s="8">
        <v>17400</v>
      </c>
      <c r="X35" s="6" t="s">
        <v>74</v>
      </c>
      <c r="Y35" s="6" t="s">
        <v>3197</v>
      </c>
    </row>
    <row r="36" spans="1:25" s="42" customFormat="1" ht="303.60000000000002">
      <c r="A36" s="37" t="s">
        <v>39</v>
      </c>
      <c r="B36" s="38" t="s">
        <v>145</v>
      </c>
      <c r="C36" s="38" t="s">
        <v>273</v>
      </c>
      <c r="D36" s="37" t="s">
        <v>3198</v>
      </c>
      <c r="E36" s="37" t="s">
        <v>3199</v>
      </c>
      <c r="F36" s="37" t="s">
        <v>1278</v>
      </c>
      <c r="G36" s="37" t="s">
        <v>55</v>
      </c>
      <c r="H36" s="37" t="s">
        <v>158</v>
      </c>
      <c r="I36" s="38" t="s">
        <v>148</v>
      </c>
      <c r="J36" s="38" t="s">
        <v>3153</v>
      </c>
      <c r="K36" s="37">
        <v>2</v>
      </c>
      <c r="L36" s="37" t="s">
        <v>43</v>
      </c>
      <c r="M36" s="39">
        <v>67493</v>
      </c>
      <c r="N36" s="37" t="s">
        <v>3200</v>
      </c>
      <c r="O36" s="40">
        <v>1</v>
      </c>
      <c r="P36" s="39">
        <v>67493</v>
      </c>
      <c r="Q36" s="37" t="s">
        <v>3200</v>
      </c>
      <c r="R36" s="37" t="s">
        <v>1509</v>
      </c>
      <c r="S36" s="37" t="s">
        <v>3201</v>
      </c>
      <c r="T36" s="41" t="s">
        <v>3202</v>
      </c>
      <c r="U36" s="41" t="s">
        <v>3203</v>
      </c>
      <c r="V36" s="37" t="s">
        <v>59</v>
      </c>
      <c r="W36" s="39">
        <v>67493</v>
      </c>
      <c r="X36" s="37" t="s">
        <v>58</v>
      </c>
      <c r="Y36" s="37"/>
    </row>
    <row r="37" spans="1:25" ht="165.6">
      <c r="A37" s="6" t="s">
        <v>39</v>
      </c>
      <c r="B37" s="7" t="s">
        <v>145</v>
      </c>
      <c r="C37" s="7" t="s">
        <v>192</v>
      </c>
      <c r="D37" s="6" t="s">
        <v>193</v>
      </c>
      <c r="E37" s="6" t="s">
        <v>194</v>
      </c>
      <c r="F37" s="6" t="s">
        <v>40</v>
      </c>
      <c r="G37" s="6" t="s">
        <v>55</v>
      </c>
      <c r="H37" s="6" t="s">
        <v>193</v>
      </c>
      <c r="I37" s="7" t="s">
        <v>148</v>
      </c>
      <c r="J37" s="7" t="s">
        <v>85</v>
      </c>
      <c r="K37" s="6">
        <v>2</v>
      </c>
      <c r="L37" s="6" t="s">
        <v>43</v>
      </c>
      <c r="M37" s="8">
        <v>30000</v>
      </c>
      <c r="N37" s="6" t="s">
        <v>195</v>
      </c>
      <c r="O37" s="9">
        <v>1</v>
      </c>
      <c r="P37" s="8">
        <v>30000</v>
      </c>
      <c r="Q37" s="6" t="s">
        <v>195</v>
      </c>
      <c r="R37" s="6" t="s">
        <v>196</v>
      </c>
      <c r="S37" s="6" t="s">
        <v>197</v>
      </c>
      <c r="T37" s="10" t="s">
        <v>198</v>
      </c>
      <c r="U37" s="10" t="s">
        <v>199</v>
      </c>
      <c r="V37" s="6">
        <v>3</v>
      </c>
      <c r="W37" s="8">
        <v>30000</v>
      </c>
      <c r="X37" s="6" t="s">
        <v>58</v>
      </c>
      <c r="Y37" s="20"/>
    </row>
    <row r="38" spans="1:25" hidden="1">
      <c r="A38" s="11" t="s">
        <v>44</v>
      </c>
      <c r="B38" s="12"/>
      <c r="C38" s="12"/>
      <c r="D38" s="11"/>
      <c r="E38" s="11"/>
      <c r="F38" s="11"/>
      <c r="G38" s="11"/>
      <c r="H38" s="11"/>
      <c r="I38" s="12"/>
      <c r="J38" s="12"/>
      <c r="K38" s="11"/>
      <c r="L38" s="11"/>
      <c r="M38" s="13"/>
      <c r="N38" s="11"/>
      <c r="O38" s="14"/>
      <c r="P38" s="13"/>
      <c r="Q38" s="11"/>
      <c r="R38" s="11"/>
      <c r="S38" s="11"/>
      <c r="T38" s="15"/>
      <c r="U38" s="15"/>
      <c r="V38" s="15"/>
      <c r="W38" s="11"/>
      <c r="X38" s="11"/>
    </row>
    <row r="39" spans="1:25" ht="289.8">
      <c r="A39" s="6" t="s">
        <v>39</v>
      </c>
      <c r="B39" s="7" t="s">
        <v>145</v>
      </c>
      <c r="C39" s="7" t="s">
        <v>201</v>
      </c>
      <c r="D39" s="6" t="s">
        <v>202</v>
      </c>
      <c r="E39" s="6" t="s">
        <v>203</v>
      </c>
      <c r="F39" s="6" t="s">
        <v>40</v>
      </c>
      <c r="G39" s="6" t="s">
        <v>55</v>
      </c>
      <c r="H39" s="6" t="s">
        <v>202</v>
      </c>
      <c r="I39" s="7" t="s">
        <v>148</v>
      </c>
      <c r="J39" s="7" t="s">
        <v>148</v>
      </c>
      <c r="K39" s="6">
        <v>1</v>
      </c>
      <c r="L39" s="6" t="s">
        <v>204</v>
      </c>
      <c r="M39" s="8">
        <v>1919.7</v>
      </c>
      <c r="N39" s="6" t="s">
        <v>205</v>
      </c>
      <c r="O39" s="9">
        <v>1</v>
      </c>
      <c r="P39" s="8">
        <v>1919.7</v>
      </c>
      <c r="Q39" s="6" t="s">
        <v>205</v>
      </c>
      <c r="R39" s="6" t="s">
        <v>206</v>
      </c>
      <c r="S39" s="6" t="s">
        <v>207</v>
      </c>
      <c r="T39" s="10" t="s">
        <v>208</v>
      </c>
      <c r="U39" s="10" t="s">
        <v>209</v>
      </c>
      <c r="V39" s="6" t="s">
        <v>59</v>
      </c>
      <c r="W39" s="8">
        <v>1919.7</v>
      </c>
      <c r="X39" s="6" t="s">
        <v>74</v>
      </c>
      <c r="Y39" s="6" t="s">
        <v>210</v>
      </c>
    </row>
    <row r="40" spans="1:25" s="20" customFormat="1" ht="220.8">
      <c r="A40" s="6" t="s">
        <v>39</v>
      </c>
      <c r="B40" s="19" t="s">
        <v>211</v>
      </c>
      <c r="C40" s="19" t="s">
        <v>80</v>
      </c>
      <c r="D40" s="20" t="s">
        <v>212</v>
      </c>
      <c r="E40" s="6" t="s">
        <v>213</v>
      </c>
      <c r="F40" s="20" t="s">
        <v>40</v>
      </c>
      <c r="G40" s="20" t="s">
        <v>55</v>
      </c>
      <c r="H40" s="20" t="s">
        <v>214</v>
      </c>
      <c r="I40" s="7" t="s">
        <v>215</v>
      </c>
      <c r="J40" s="7" t="s">
        <v>216</v>
      </c>
      <c r="K40" s="20">
        <v>2</v>
      </c>
      <c r="L40" s="6" t="s">
        <v>43</v>
      </c>
      <c r="M40" s="21">
        <v>4800</v>
      </c>
      <c r="N40" s="20" t="s">
        <v>217</v>
      </c>
      <c r="O40" s="22">
        <v>1</v>
      </c>
      <c r="P40" s="21">
        <v>4800</v>
      </c>
      <c r="Q40" s="20" t="s">
        <v>217</v>
      </c>
      <c r="R40" s="6" t="s">
        <v>218</v>
      </c>
      <c r="S40" s="6" t="s">
        <v>219</v>
      </c>
      <c r="T40" s="10" t="s">
        <v>220</v>
      </c>
      <c r="U40" s="10" t="s">
        <v>221</v>
      </c>
      <c r="V40" s="20" t="s">
        <v>59</v>
      </c>
      <c r="W40" s="21">
        <v>6054872</v>
      </c>
      <c r="X40" s="20" t="s">
        <v>58</v>
      </c>
    </row>
    <row r="41" spans="1:25" s="44" customFormat="1" ht="276">
      <c r="A41" s="37" t="s">
        <v>39</v>
      </c>
      <c r="B41" s="38" t="s">
        <v>211</v>
      </c>
      <c r="C41" s="38" t="s">
        <v>93</v>
      </c>
      <c r="D41" s="37" t="s">
        <v>3204</v>
      </c>
      <c r="E41" s="37" t="s">
        <v>3205</v>
      </c>
      <c r="F41" s="37" t="s">
        <v>2880</v>
      </c>
      <c r="G41" s="37" t="s">
        <v>55</v>
      </c>
      <c r="H41" s="37" t="s">
        <v>927</v>
      </c>
      <c r="I41" s="38" t="s">
        <v>216</v>
      </c>
      <c r="J41" s="38" t="s">
        <v>299</v>
      </c>
      <c r="K41" s="37">
        <v>14</v>
      </c>
      <c r="L41" s="37" t="s">
        <v>2906</v>
      </c>
      <c r="M41" s="39">
        <v>172683</v>
      </c>
      <c r="N41" s="37" t="s">
        <v>3206</v>
      </c>
      <c r="O41" s="40">
        <v>1</v>
      </c>
      <c r="P41" s="39">
        <v>172683</v>
      </c>
      <c r="Q41" s="37" t="s">
        <v>3206</v>
      </c>
      <c r="R41" s="37" t="s">
        <v>3207</v>
      </c>
      <c r="S41" s="37" t="s">
        <v>3208</v>
      </c>
      <c r="T41" s="41" t="s">
        <v>3209</v>
      </c>
      <c r="U41" s="41" t="s">
        <v>3210</v>
      </c>
      <c r="V41" s="37" t="s">
        <v>59</v>
      </c>
      <c r="W41" s="39">
        <v>1700000</v>
      </c>
      <c r="X41" s="37" t="s">
        <v>58</v>
      </c>
      <c r="Y41" s="37" t="s">
        <v>3211</v>
      </c>
    </row>
    <row r="42" spans="1:25" s="20" customFormat="1" ht="220.8">
      <c r="A42" s="20" t="s">
        <v>39</v>
      </c>
      <c r="B42" s="19" t="s">
        <v>211</v>
      </c>
      <c r="C42" s="19" t="s">
        <v>104</v>
      </c>
      <c r="D42" s="20" t="s">
        <v>222</v>
      </c>
      <c r="E42" s="6" t="s">
        <v>223</v>
      </c>
      <c r="F42" s="20" t="s">
        <v>40</v>
      </c>
      <c r="G42" s="20" t="s">
        <v>55</v>
      </c>
      <c r="H42" s="20" t="s">
        <v>224</v>
      </c>
      <c r="I42" s="19" t="s">
        <v>225</v>
      </c>
      <c r="J42" s="19" t="s">
        <v>225</v>
      </c>
      <c r="K42" s="20">
        <v>1</v>
      </c>
      <c r="L42" s="6" t="s">
        <v>43</v>
      </c>
      <c r="M42" s="21">
        <v>6000</v>
      </c>
      <c r="N42" s="20" t="s">
        <v>226</v>
      </c>
      <c r="O42" s="22">
        <v>1</v>
      </c>
      <c r="P42" s="21">
        <v>6000</v>
      </c>
      <c r="Q42" s="20" t="s">
        <v>226</v>
      </c>
      <c r="R42" s="20" t="s">
        <v>227</v>
      </c>
      <c r="S42" s="6" t="s">
        <v>228</v>
      </c>
      <c r="T42" s="10" t="s">
        <v>237</v>
      </c>
      <c r="U42" s="10" t="s">
        <v>238</v>
      </c>
      <c r="V42" s="20" t="s">
        <v>59</v>
      </c>
      <c r="W42" s="21">
        <v>5330730.03</v>
      </c>
      <c r="X42" s="20" t="s">
        <v>58</v>
      </c>
      <c r="Y42" s="6" t="s">
        <v>229</v>
      </c>
    </row>
    <row r="43" spans="1:25" s="42" customFormat="1" ht="262.2">
      <c r="A43" s="37" t="s">
        <v>39</v>
      </c>
      <c r="B43" s="38" t="s">
        <v>211</v>
      </c>
      <c r="C43" s="38" t="s">
        <v>113</v>
      </c>
      <c r="D43" s="37" t="s">
        <v>3212</v>
      </c>
      <c r="E43" s="37" t="s">
        <v>3213</v>
      </c>
      <c r="F43" s="37" t="s">
        <v>2880</v>
      </c>
      <c r="G43" s="37" t="s">
        <v>55</v>
      </c>
      <c r="H43" s="37" t="s">
        <v>613</v>
      </c>
      <c r="I43" s="38" t="s">
        <v>233</v>
      </c>
      <c r="J43" s="38" t="s">
        <v>351</v>
      </c>
      <c r="K43" s="37">
        <v>9</v>
      </c>
      <c r="L43" s="37" t="s">
        <v>43</v>
      </c>
      <c r="M43" s="39">
        <v>116380</v>
      </c>
      <c r="N43" s="37" t="s">
        <v>3214</v>
      </c>
      <c r="O43" s="40">
        <v>1</v>
      </c>
      <c r="P43" s="39">
        <v>116380</v>
      </c>
      <c r="Q43" s="37" t="s">
        <v>3214</v>
      </c>
      <c r="R43" s="37" t="s">
        <v>1509</v>
      </c>
      <c r="S43" s="37" t="s">
        <v>3215</v>
      </c>
      <c r="T43" s="41" t="s">
        <v>3216</v>
      </c>
      <c r="U43" s="41" t="s">
        <v>3217</v>
      </c>
      <c r="V43" s="37" t="s">
        <v>59</v>
      </c>
      <c r="W43" s="39">
        <v>116380</v>
      </c>
      <c r="X43" s="37" t="s">
        <v>58</v>
      </c>
      <c r="Y43" s="37"/>
    </row>
    <row r="44" spans="1:25" s="20" customFormat="1" ht="220.8">
      <c r="A44" s="20" t="s">
        <v>39</v>
      </c>
      <c r="B44" s="19" t="s">
        <v>211</v>
      </c>
      <c r="C44" s="19" t="s">
        <v>167</v>
      </c>
      <c r="D44" s="6" t="s">
        <v>230</v>
      </c>
      <c r="E44" s="6" t="s">
        <v>231</v>
      </c>
      <c r="F44" s="20" t="s">
        <v>40</v>
      </c>
      <c r="G44" s="20" t="s">
        <v>55</v>
      </c>
      <c r="H44" s="6" t="s">
        <v>232</v>
      </c>
      <c r="I44" s="19" t="s">
        <v>233</v>
      </c>
      <c r="J44" s="19" t="s">
        <v>234</v>
      </c>
      <c r="K44" s="20">
        <v>50</v>
      </c>
      <c r="L44" s="6" t="s">
        <v>43</v>
      </c>
      <c r="M44" s="21">
        <v>111703.11</v>
      </c>
      <c r="N44" s="6" t="s">
        <v>240</v>
      </c>
      <c r="O44" s="22">
        <v>1</v>
      </c>
      <c r="P44" s="21">
        <v>111703.11</v>
      </c>
      <c r="Q44" s="20" t="s">
        <v>240</v>
      </c>
      <c r="R44" s="6" t="s">
        <v>235</v>
      </c>
      <c r="S44" s="6" t="s">
        <v>236</v>
      </c>
      <c r="T44" s="10" t="s">
        <v>239</v>
      </c>
      <c r="U44" s="10" t="s">
        <v>251</v>
      </c>
      <c r="V44" s="20" t="s">
        <v>59</v>
      </c>
      <c r="W44" s="21">
        <v>111703.11</v>
      </c>
      <c r="X44" s="20" t="s">
        <v>74</v>
      </c>
      <c r="Y44" s="6" t="s">
        <v>241</v>
      </c>
    </row>
    <row r="45" spans="1:25" s="20" customFormat="1" ht="124.2">
      <c r="A45" s="20" t="s">
        <v>39</v>
      </c>
      <c r="B45" s="19" t="s">
        <v>211</v>
      </c>
      <c r="C45" s="19" t="s">
        <v>176</v>
      </c>
      <c r="D45" s="6" t="s">
        <v>242</v>
      </c>
      <c r="E45" s="6" t="s">
        <v>243</v>
      </c>
      <c r="F45" s="20" t="s">
        <v>40</v>
      </c>
      <c r="G45" s="20" t="s">
        <v>55</v>
      </c>
      <c r="H45" s="6" t="s">
        <v>244</v>
      </c>
      <c r="I45" s="19" t="s">
        <v>245</v>
      </c>
      <c r="J45" s="19" t="s">
        <v>246</v>
      </c>
      <c r="K45" s="20">
        <v>4</v>
      </c>
      <c r="L45" s="6" t="s">
        <v>43</v>
      </c>
      <c r="M45" s="21">
        <v>5900</v>
      </c>
      <c r="N45" s="20" t="s">
        <v>247</v>
      </c>
      <c r="O45" s="22">
        <v>1</v>
      </c>
      <c r="P45" s="21">
        <v>5900</v>
      </c>
      <c r="Q45" s="20" t="s">
        <v>248</v>
      </c>
      <c r="R45" s="20" t="s">
        <v>86</v>
      </c>
      <c r="S45" s="6" t="s">
        <v>249</v>
      </c>
      <c r="T45" s="10" t="s">
        <v>250</v>
      </c>
      <c r="U45" s="10" t="s">
        <v>252</v>
      </c>
      <c r="V45" s="6" t="s">
        <v>253</v>
      </c>
      <c r="W45" s="21">
        <v>5900</v>
      </c>
      <c r="X45" s="20" t="s">
        <v>74</v>
      </c>
    </row>
    <row r="46" spans="1:25" s="42" customFormat="1" ht="248.4">
      <c r="A46" s="37" t="s">
        <v>39</v>
      </c>
      <c r="B46" s="38" t="s">
        <v>211</v>
      </c>
      <c r="C46" s="38" t="s">
        <v>183</v>
      </c>
      <c r="D46" s="37" t="s">
        <v>3218</v>
      </c>
      <c r="E46" s="37" t="s">
        <v>3219</v>
      </c>
      <c r="F46" s="37" t="s">
        <v>1278</v>
      </c>
      <c r="G46" s="37" t="s">
        <v>55</v>
      </c>
      <c r="H46" s="37" t="s">
        <v>613</v>
      </c>
      <c r="I46" s="38" t="s">
        <v>267</v>
      </c>
      <c r="J46" s="38" t="s">
        <v>3220</v>
      </c>
      <c r="K46" s="37">
        <v>41</v>
      </c>
      <c r="L46" s="37" t="s">
        <v>289</v>
      </c>
      <c r="M46" s="39">
        <v>154562.32</v>
      </c>
      <c r="N46" s="37" t="s">
        <v>3221</v>
      </c>
      <c r="O46" s="40">
        <v>0.5</v>
      </c>
      <c r="P46" s="39">
        <v>344318.4</v>
      </c>
      <c r="Q46" s="37" t="s">
        <v>3222</v>
      </c>
      <c r="R46" s="37" t="s">
        <v>1509</v>
      </c>
      <c r="S46" s="37" t="s">
        <v>3223</v>
      </c>
      <c r="T46" s="41" t="s">
        <v>3224</v>
      </c>
      <c r="U46" s="41" t="s">
        <v>3225</v>
      </c>
      <c r="V46" s="37" t="s">
        <v>59</v>
      </c>
      <c r="W46" s="39">
        <v>812642.23</v>
      </c>
      <c r="X46" s="37" t="s">
        <v>58</v>
      </c>
      <c r="Y46" s="37" t="s">
        <v>3226</v>
      </c>
    </row>
    <row r="47" spans="1:25" s="42" customFormat="1" ht="386.4">
      <c r="A47" s="37" t="s">
        <v>39</v>
      </c>
      <c r="B47" s="38" t="s">
        <v>211</v>
      </c>
      <c r="C47" s="38" t="s">
        <v>114</v>
      </c>
      <c r="D47" s="37" t="s">
        <v>3227</v>
      </c>
      <c r="E47" s="37" t="s">
        <v>3228</v>
      </c>
      <c r="F47" s="37" t="s">
        <v>1278</v>
      </c>
      <c r="G47" s="37" t="s">
        <v>55</v>
      </c>
      <c r="H47" s="37" t="s">
        <v>158</v>
      </c>
      <c r="I47" s="38" t="s">
        <v>267</v>
      </c>
      <c r="J47" s="38" t="s">
        <v>779</v>
      </c>
      <c r="K47" s="37">
        <v>25</v>
      </c>
      <c r="L47" s="37" t="s">
        <v>43</v>
      </c>
      <c r="M47" s="39">
        <v>49947</v>
      </c>
      <c r="N47" s="37" t="s">
        <v>3229</v>
      </c>
      <c r="O47" s="40">
        <v>1</v>
      </c>
      <c r="P47" s="39">
        <v>124867.5</v>
      </c>
      <c r="Q47" s="37" t="s">
        <v>3230</v>
      </c>
      <c r="R47" s="37" t="s">
        <v>1509</v>
      </c>
      <c r="S47" s="37" t="s">
        <v>3231</v>
      </c>
      <c r="T47" s="41" t="s">
        <v>3232</v>
      </c>
      <c r="U47" s="41" t="s">
        <v>3233</v>
      </c>
      <c r="V47" s="37" t="s">
        <v>59</v>
      </c>
      <c r="W47" s="39">
        <v>124867.5</v>
      </c>
      <c r="X47" s="37" t="s">
        <v>3234</v>
      </c>
      <c r="Y47" s="37" t="s">
        <v>3235</v>
      </c>
    </row>
    <row r="48" spans="1:25" s="20" customFormat="1" ht="220.8">
      <c r="A48" s="20" t="s">
        <v>39</v>
      </c>
      <c r="B48" s="19" t="s">
        <v>211</v>
      </c>
      <c r="C48" s="19" t="s">
        <v>125</v>
      </c>
      <c r="D48" s="6" t="s">
        <v>254</v>
      </c>
      <c r="E48" s="6" t="s">
        <v>255</v>
      </c>
      <c r="F48" s="20" t="s">
        <v>40</v>
      </c>
      <c r="G48" s="20" t="s">
        <v>55</v>
      </c>
      <c r="H48" s="20" t="s">
        <v>256</v>
      </c>
      <c r="I48" s="19" t="s">
        <v>258</v>
      </c>
      <c r="J48" s="7" t="s">
        <v>259</v>
      </c>
      <c r="K48" s="20">
        <v>4</v>
      </c>
      <c r="L48" s="6" t="s">
        <v>43</v>
      </c>
      <c r="M48" s="21">
        <v>4945</v>
      </c>
      <c r="N48" s="20" t="s">
        <v>260</v>
      </c>
      <c r="O48" s="22">
        <v>1</v>
      </c>
      <c r="P48" s="21">
        <v>4945</v>
      </c>
      <c r="Q48" s="20" t="s">
        <v>260</v>
      </c>
      <c r="R48" s="6" t="s">
        <v>257</v>
      </c>
      <c r="S48" s="6" t="s">
        <v>261</v>
      </c>
      <c r="T48" s="10" t="s">
        <v>262</v>
      </c>
      <c r="U48" s="10" t="s">
        <v>263</v>
      </c>
      <c r="V48" s="20" t="s">
        <v>59</v>
      </c>
      <c r="W48" s="21">
        <v>540419.94999999995</v>
      </c>
      <c r="X48" s="20" t="s">
        <v>58</v>
      </c>
      <c r="Y48" s="6" t="s">
        <v>264</v>
      </c>
    </row>
    <row r="49" spans="1:25" s="42" customFormat="1" ht="124.2">
      <c r="A49" s="37" t="s">
        <v>39</v>
      </c>
      <c r="B49" s="38" t="s">
        <v>211</v>
      </c>
      <c r="C49" s="38" t="s">
        <v>134</v>
      </c>
      <c r="D49" s="37" t="s">
        <v>3236</v>
      </c>
      <c r="E49" s="37" t="s">
        <v>3237</v>
      </c>
      <c r="F49" s="37" t="s">
        <v>1278</v>
      </c>
      <c r="G49" s="37" t="s">
        <v>55</v>
      </c>
      <c r="H49" s="37" t="s">
        <v>158</v>
      </c>
      <c r="I49" s="38" t="s">
        <v>258</v>
      </c>
      <c r="J49" s="38" t="s">
        <v>267</v>
      </c>
      <c r="K49" s="37" t="s">
        <v>1199</v>
      </c>
      <c r="L49" s="37" t="s">
        <v>43</v>
      </c>
      <c r="M49" s="39">
        <v>7000</v>
      </c>
      <c r="N49" s="37" t="s">
        <v>3238</v>
      </c>
      <c r="O49" s="40">
        <v>1</v>
      </c>
      <c r="P49" s="39">
        <v>7000</v>
      </c>
      <c r="Q49" s="37" t="s">
        <v>3238</v>
      </c>
      <c r="R49" s="37" t="s">
        <v>715</v>
      </c>
      <c r="S49" s="37" t="s">
        <v>1919</v>
      </c>
      <c r="T49" s="41" t="s">
        <v>3239</v>
      </c>
      <c r="U49" s="41" t="s">
        <v>3240</v>
      </c>
      <c r="V49" s="37" t="s">
        <v>59</v>
      </c>
      <c r="W49" s="39">
        <v>301724.14</v>
      </c>
      <c r="X49" s="37" t="s">
        <v>74</v>
      </c>
      <c r="Y49" s="37"/>
    </row>
    <row r="50" spans="1:25" s="20" customFormat="1" ht="193.2">
      <c r="A50" s="20" t="s">
        <v>39</v>
      </c>
      <c r="B50" s="19" t="s">
        <v>211</v>
      </c>
      <c r="C50" s="19" t="s">
        <v>191</v>
      </c>
      <c r="D50" s="6" t="s">
        <v>265</v>
      </c>
      <c r="E50" s="6" t="s">
        <v>266</v>
      </c>
      <c r="F50" s="20" t="s">
        <v>40</v>
      </c>
      <c r="G50" s="20" t="s">
        <v>55</v>
      </c>
      <c r="H50" s="20" t="s">
        <v>59</v>
      </c>
      <c r="I50" s="19" t="s">
        <v>267</v>
      </c>
      <c r="J50" s="7" t="s">
        <v>268</v>
      </c>
      <c r="K50" s="20">
        <v>5</v>
      </c>
      <c r="L50" s="6" t="s">
        <v>43</v>
      </c>
      <c r="M50" s="21">
        <v>20706</v>
      </c>
      <c r="N50" s="20" t="s">
        <v>269</v>
      </c>
      <c r="O50" s="22">
        <v>1</v>
      </c>
      <c r="P50" s="21">
        <v>20706</v>
      </c>
      <c r="Q50" s="20" t="s">
        <v>269</v>
      </c>
      <c r="R50" s="20" t="s">
        <v>86</v>
      </c>
      <c r="S50" s="6" t="s">
        <v>270</v>
      </c>
      <c r="T50" s="10" t="s">
        <v>271</v>
      </c>
      <c r="U50" s="10" t="s">
        <v>272</v>
      </c>
      <c r="V50" s="20" t="s">
        <v>59</v>
      </c>
      <c r="W50" s="21">
        <v>798636</v>
      </c>
      <c r="X50" s="20" t="s">
        <v>74</v>
      </c>
    </row>
    <row r="51" spans="1:25" s="20" customFormat="1" ht="193.2">
      <c r="A51" s="20" t="s">
        <v>39</v>
      </c>
      <c r="B51" s="19" t="s">
        <v>211</v>
      </c>
      <c r="C51" s="19" t="s">
        <v>273</v>
      </c>
      <c r="D51" s="20" t="s">
        <v>274</v>
      </c>
      <c r="E51" s="6" t="s">
        <v>275</v>
      </c>
      <c r="F51" s="20" t="s">
        <v>40</v>
      </c>
      <c r="G51" s="20" t="s">
        <v>274</v>
      </c>
      <c r="H51" s="6" t="s">
        <v>276</v>
      </c>
      <c r="I51" s="19" t="s">
        <v>267</v>
      </c>
      <c r="J51" s="19" t="s">
        <v>277</v>
      </c>
      <c r="K51" s="20">
        <v>10</v>
      </c>
      <c r="L51" s="6" t="s">
        <v>278</v>
      </c>
      <c r="M51" s="21">
        <v>192000</v>
      </c>
      <c r="N51" s="20" t="s">
        <v>279</v>
      </c>
      <c r="O51" s="22">
        <v>1</v>
      </c>
      <c r="P51" s="21">
        <v>140761.81</v>
      </c>
      <c r="Q51" s="20" t="s">
        <v>283</v>
      </c>
      <c r="R51" s="6" t="s">
        <v>196</v>
      </c>
      <c r="S51" s="6" t="s">
        <v>280</v>
      </c>
      <c r="T51" s="10" t="s">
        <v>281</v>
      </c>
      <c r="U51" s="10" t="s">
        <v>282</v>
      </c>
      <c r="V51" s="20">
        <v>21</v>
      </c>
      <c r="W51" s="21">
        <v>192000</v>
      </c>
      <c r="X51" s="20" t="s">
        <v>58</v>
      </c>
      <c r="Y51" s="6" t="s">
        <v>284</v>
      </c>
    </row>
    <row r="52" spans="1:25" s="44" customFormat="1" ht="317.39999999999998">
      <c r="A52" s="37" t="s">
        <v>39</v>
      </c>
      <c r="B52" s="38" t="s">
        <v>211</v>
      </c>
      <c r="C52" s="38" t="s">
        <v>192</v>
      </c>
      <c r="D52" s="37" t="s">
        <v>3241</v>
      </c>
      <c r="E52" s="37" t="s">
        <v>3243</v>
      </c>
      <c r="F52" s="37" t="s">
        <v>2880</v>
      </c>
      <c r="G52" s="37" t="s">
        <v>55</v>
      </c>
      <c r="H52" s="37" t="s">
        <v>2311</v>
      </c>
      <c r="I52" s="38" t="s">
        <v>268</v>
      </c>
      <c r="J52" s="38" t="s">
        <v>498</v>
      </c>
      <c r="K52" s="37">
        <v>14</v>
      </c>
      <c r="L52" s="37" t="s">
        <v>289</v>
      </c>
      <c r="M52" s="39">
        <v>149980</v>
      </c>
      <c r="N52" s="37" t="s">
        <v>3242</v>
      </c>
      <c r="O52" s="40">
        <v>1</v>
      </c>
      <c r="P52" s="39">
        <v>59992</v>
      </c>
      <c r="Q52" s="37" t="s">
        <v>3244</v>
      </c>
      <c r="R52" s="37" t="s">
        <v>1509</v>
      </c>
      <c r="S52" s="37" t="s">
        <v>3245</v>
      </c>
      <c r="T52" s="41" t="s">
        <v>3246</v>
      </c>
      <c r="U52" s="41" t="s">
        <v>3247</v>
      </c>
      <c r="V52" s="37" t="s">
        <v>59</v>
      </c>
      <c r="W52" s="39">
        <v>5366208.45</v>
      </c>
      <c r="X52" s="37" t="s">
        <v>58</v>
      </c>
      <c r="Y52" s="37" t="s">
        <v>3248</v>
      </c>
    </row>
    <row r="53" spans="1:25" s="6" customFormat="1" ht="386.4">
      <c r="A53" s="6" t="s">
        <v>39</v>
      </c>
      <c r="B53" s="27" t="s">
        <v>211</v>
      </c>
      <c r="C53" s="27" t="s">
        <v>201</v>
      </c>
      <c r="D53" s="6" t="s">
        <v>3249</v>
      </c>
      <c r="E53" s="6" t="s">
        <v>3250</v>
      </c>
      <c r="F53" s="6" t="s">
        <v>40</v>
      </c>
      <c r="G53" s="6" t="s">
        <v>55</v>
      </c>
      <c r="H53" s="6" t="s">
        <v>613</v>
      </c>
      <c r="I53" s="7" t="s">
        <v>3251</v>
      </c>
      <c r="J53" s="7" t="s">
        <v>351</v>
      </c>
      <c r="K53" s="6">
        <v>3</v>
      </c>
      <c r="L53" s="6" t="s">
        <v>43</v>
      </c>
      <c r="M53" s="8">
        <v>28500</v>
      </c>
      <c r="N53" s="6" t="s">
        <v>3252</v>
      </c>
      <c r="O53" s="24">
        <v>1</v>
      </c>
      <c r="P53" s="8">
        <v>28500</v>
      </c>
      <c r="Q53" s="6" t="s">
        <v>3252</v>
      </c>
      <c r="R53" s="6" t="s">
        <v>3253</v>
      </c>
      <c r="S53" s="6" t="s">
        <v>3254</v>
      </c>
      <c r="T53" s="10" t="s">
        <v>3255</v>
      </c>
      <c r="U53" s="10" t="s">
        <v>3256</v>
      </c>
      <c r="V53" s="6" t="s">
        <v>59</v>
      </c>
      <c r="W53" s="31" t="s">
        <v>461</v>
      </c>
      <c r="X53" s="6" t="s">
        <v>74</v>
      </c>
    </row>
    <row r="54" spans="1:25" s="20" customFormat="1" ht="220.8">
      <c r="A54" s="20" t="s">
        <v>39</v>
      </c>
      <c r="B54" s="19" t="s">
        <v>211</v>
      </c>
      <c r="C54" s="19" t="s">
        <v>285</v>
      </c>
      <c r="D54" s="6" t="s">
        <v>286</v>
      </c>
      <c r="E54" s="6" t="s">
        <v>287</v>
      </c>
      <c r="F54" s="20" t="s">
        <v>40</v>
      </c>
      <c r="G54" s="20" t="s">
        <v>55</v>
      </c>
      <c r="H54" s="20" t="s">
        <v>288</v>
      </c>
      <c r="I54" s="7" t="s">
        <v>268</v>
      </c>
      <c r="J54" s="7" t="s">
        <v>268</v>
      </c>
      <c r="K54" s="20">
        <v>1</v>
      </c>
      <c r="L54" s="6" t="s">
        <v>289</v>
      </c>
      <c r="M54" s="21">
        <v>8160</v>
      </c>
      <c r="N54" s="20" t="s">
        <v>290</v>
      </c>
      <c r="O54" s="22">
        <v>1</v>
      </c>
      <c r="P54" s="21">
        <v>8160</v>
      </c>
      <c r="Q54" s="20" t="s">
        <v>290</v>
      </c>
      <c r="R54" s="20" t="s">
        <v>291</v>
      </c>
      <c r="S54" s="6" t="s">
        <v>292</v>
      </c>
      <c r="T54" s="10" t="s">
        <v>293</v>
      </c>
      <c r="U54" s="10" t="s">
        <v>294</v>
      </c>
      <c r="V54" s="20" t="s">
        <v>59</v>
      </c>
      <c r="W54" s="21">
        <v>24448483.140000001</v>
      </c>
      <c r="X54" s="20" t="s">
        <v>58</v>
      </c>
    </row>
    <row r="55" spans="1:25" s="20" customFormat="1" ht="138">
      <c r="A55" s="20" t="s">
        <v>39</v>
      </c>
      <c r="B55" s="19" t="s">
        <v>211</v>
      </c>
      <c r="C55" s="19" t="s">
        <v>295</v>
      </c>
      <c r="D55" s="6" t="s">
        <v>296</v>
      </c>
      <c r="E55" s="6" t="s">
        <v>297</v>
      </c>
      <c r="F55" s="20" t="s">
        <v>40</v>
      </c>
      <c r="G55" s="20" t="s">
        <v>55</v>
      </c>
      <c r="H55" s="20" t="s">
        <v>158</v>
      </c>
      <c r="I55" s="7" t="s">
        <v>268</v>
      </c>
      <c r="J55" s="19" t="s">
        <v>299</v>
      </c>
      <c r="K55" s="20">
        <v>5</v>
      </c>
      <c r="L55" s="6" t="s">
        <v>43</v>
      </c>
      <c r="M55" s="21">
        <v>9840</v>
      </c>
      <c r="N55" s="20" t="s">
        <v>300</v>
      </c>
      <c r="O55" s="22">
        <v>1</v>
      </c>
      <c r="P55" s="21">
        <v>9840</v>
      </c>
      <c r="Q55" s="20" t="s">
        <v>300</v>
      </c>
      <c r="R55" s="6" t="s">
        <v>302</v>
      </c>
      <c r="S55" s="6" t="s">
        <v>301</v>
      </c>
      <c r="T55" s="10" t="s">
        <v>303</v>
      </c>
      <c r="U55" s="10" t="s">
        <v>304</v>
      </c>
      <c r="V55" s="20">
        <v>0.2</v>
      </c>
      <c r="W55" s="21">
        <v>9840</v>
      </c>
      <c r="X55" s="20" t="s">
        <v>74</v>
      </c>
    </row>
    <row r="56" spans="1:25" s="20" customFormat="1" ht="372.6">
      <c r="A56" s="20" t="s">
        <v>39</v>
      </c>
      <c r="B56" s="19" t="s">
        <v>211</v>
      </c>
      <c r="C56" s="19" t="s">
        <v>305</v>
      </c>
      <c r="D56" s="20" t="s">
        <v>306</v>
      </c>
      <c r="E56" s="6" t="s">
        <v>307</v>
      </c>
      <c r="F56" s="20" t="s">
        <v>40</v>
      </c>
      <c r="G56" s="20" t="s">
        <v>55</v>
      </c>
      <c r="H56" s="20" t="s">
        <v>214</v>
      </c>
      <c r="I56" s="7" t="s">
        <v>268</v>
      </c>
      <c r="J56" s="7" t="s">
        <v>308</v>
      </c>
      <c r="K56" s="20">
        <v>2</v>
      </c>
      <c r="L56" s="6" t="s">
        <v>289</v>
      </c>
      <c r="M56" s="21">
        <v>5275</v>
      </c>
      <c r="N56" s="20" t="s">
        <v>309</v>
      </c>
      <c r="O56" s="22">
        <v>1</v>
      </c>
      <c r="P56" s="21">
        <v>5275</v>
      </c>
      <c r="Q56" s="20" t="s">
        <v>309</v>
      </c>
      <c r="R56" s="6" t="s">
        <v>310</v>
      </c>
      <c r="S56" s="6" t="s">
        <v>311</v>
      </c>
      <c r="T56" s="10" t="s">
        <v>312</v>
      </c>
      <c r="U56" s="10" t="s">
        <v>313</v>
      </c>
      <c r="V56" s="20" t="s">
        <v>59</v>
      </c>
      <c r="W56" s="21">
        <v>8031733.5099999998</v>
      </c>
      <c r="X56" s="20" t="s">
        <v>74</v>
      </c>
    </row>
    <row r="57" spans="1:25" s="20" customFormat="1" ht="248.4">
      <c r="A57" s="20" t="s">
        <v>39</v>
      </c>
      <c r="B57" s="19" t="s">
        <v>211</v>
      </c>
      <c r="C57" s="19" t="s">
        <v>314</v>
      </c>
      <c r="D57" s="20" t="s">
        <v>315</v>
      </c>
      <c r="E57" s="6" t="s">
        <v>316</v>
      </c>
      <c r="F57" s="20" t="s">
        <v>40</v>
      </c>
      <c r="G57" s="20" t="s">
        <v>55</v>
      </c>
      <c r="H57" s="20" t="s">
        <v>202</v>
      </c>
      <c r="I57" s="7" t="s">
        <v>268</v>
      </c>
      <c r="J57" s="7" t="s">
        <v>308</v>
      </c>
      <c r="K57" s="20">
        <v>2</v>
      </c>
      <c r="L57" s="6" t="s">
        <v>43</v>
      </c>
      <c r="M57" s="21">
        <v>11800</v>
      </c>
      <c r="N57" s="20" t="s">
        <v>317</v>
      </c>
      <c r="O57" s="22">
        <v>1</v>
      </c>
      <c r="P57" s="21">
        <v>11800</v>
      </c>
      <c r="Q57" s="20" t="s">
        <v>317</v>
      </c>
      <c r="R57" s="6" t="s">
        <v>318</v>
      </c>
      <c r="S57" s="6" t="s">
        <v>319</v>
      </c>
      <c r="T57" s="10" t="s">
        <v>320</v>
      </c>
      <c r="U57" s="10" t="s">
        <v>321</v>
      </c>
      <c r="V57" s="20" t="s">
        <v>59</v>
      </c>
      <c r="W57" s="21">
        <v>11800</v>
      </c>
      <c r="X57" s="20" t="s">
        <v>58</v>
      </c>
      <c r="Y57" s="6" t="s">
        <v>322</v>
      </c>
    </row>
    <row r="58" spans="1:25" s="20" customFormat="1" ht="289.8">
      <c r="A58" s="20" t="s">
        <v>39</v>
      </c>
      <c r="B58" s="19" t="s">
        <v>211</v>
      </c>
      <c r="C58" s="19" t="s">
        <v>323</v>
      </c>
      <c r="D58" s="6" t="s">
        <v>324</v>
      </c>
      <c r="E58" s="6" t="s">
        <v>342</v>
      </c>
      <c r="F58" s="20" t="s">
        <v>40</v>
      </c>
      <c r="G58" s="20" t="s">
        <v>55</v>
      </c>
      <c r="H58" s="6" t="s">
        <v>325</v>
      </c>
      <c r="I58" s="19" t="s">
        <v>268</v>
      </c>
      <c r="J58" s="19" t="s">
        <v>308</v>
      </c>
      <c r="K58" s="20">
        <v>2</v>
      </c>
      <c r="L58" s="20" t="s">
        <v>289</v>
      </c>
      <c r="M58" s="21">
        <v>5525</v>
      </c>
      <c r="N58" s="20" t="s">
        <v>326</v>
      </c>
      <c r="O58" s="22">
        <v>1</v>
      </c>
      <c r="P58" s="21">
        <v>5525</v>
      </c>
      <c r="Q58" s="21">
        <v>5525</v>
      </c>
      <c r="R58" s="20" t="s">
        <v>291</v>
      </c>
      <c r="S58" s="6" t="s">
        <v>327</v>
      </c>
      <c r="T58" s="10" t="s">
        <v>328</v>
      </c>
      <c r="U58" s="10" t="s">
        <v>329</v>
      </c>
      <c r="V58" s="20" t="s">
        <v>59</v>
      </c>
      <c r="W58" s="21">
        <v>10783124</v>
      </c>
      <c r="X58" s="20" t="s">
        <v>74</v>
      </c>
      <c r="Y58" s="6" t="s">
        <v>347</v>
      </c>
    </row>
    <row r="59" spans="1:25" s="20" customFormat="1" ht="303.60000000000002">
      <c r="A59" s="20" t="s">
        <v>39</v>
      </c>
      <c r="B59" s="19" t="s">
        <v>211</v>
      </c>
      <c r="C59" s="19" t="s">
        <v>330</v>
      </c>
      <c r="D59" s="20" t="s">
        <v>331</v>
      </c>
      <c r="E59" s="6" t="s">
        <v>332</v>
      </c>
      <c r="F59" s="20" t="s">
        <v>40</v>
      </c>
      <c r="G59" s="20" t="s">
        <v>55</v>
      </c>
      <c r="H59" s="20" t="s">
        <v>333</v>
      </c>
      <c r="I59" s="19" t="s">
        <v>308</v>
      </c>
      <c r="J59" s="19" t="s">
        <v>308</v>
      </c>
      <c r="K59" s="20">
        <v>1</v>
      </c>
      <c r="L59" s="20" t="s">
        <v>43</v>
      </c>
      <c r="M59" s="21">
        <v>6080</v>
      </c>
      <c r="N59" s="20" t="s">
        <v>334</v>
      </c>
      <c r="O59" s="22">
        <v>1</v>
      </c>
      <c r="P59" s="21">
        <v>6080</v>
      </c>
      <c r="Q59" s="20" t="s">
        <v>334</v>
      </c>
      <c r="R59" s="20" t="s">
        <v>335</v>
      </c>
      <c r="S59" s="6" t="s">
        <v>338</v>
      </c>
      <c r="T59" s="10" t="s">
        <v>336</v>
      </c>
      <c r="U59" s="10" t="s">
        <v>337</v>
      </c>
      <c r="V59" s="20" t="s">
        <v>59</v>
      </c>
      <c r="W59" s="21">
        <v>3400000</v>
      </c>
      <c r="X59" s="20" t="s">
        <v>74</v>
      </c>
      <c r="Y59" s="6" t="s">
        <v>339</v>
      </c>
    </row>
    <row r="60" spans="1:25" s="20" customFormat="1" ht="248.4">
      <c r="A60" s="20" t="s">
        <v>39</v>
      </c>
      <c r="B60" s="19" t="s">
        <v>211</v>
      </c>
      <c r="C60" s="19" t="s">
        <v>340</v>
      </c>
      <c r="D60" s="6" t="s">
        <v>341</v>
      </c>
      <c r="E60" s="6" t="s">
        <v>345</v>
      </c>
      <c r="F60" s="20" t="s">
        <v>40</v>
      </c>
      <c r="G60" s="20" t="s">
        <v>55</v>
      </c>
      <c r="H60" s="20" t="s">
        <v>128</v>
      </c>
      <c r="I60" s="19" t="s">
        <v>308</v>
      </c>
      <c r="J60" s="19" t="s">
        <v>308</v>
      </c>
      <c r="K60" s="20">
        <v>1</v>
      </c>
      <c r="L60" s="20" t="s">
        <v>289</v>
      </c>
      <c r="M60" s="21">
        <v>4510</v>
      </c>
      <c r="N60" s="20" t="s">
        <v>343</v>
      </c>
      <c r="O60" s="22">
        <v>1</v>
      </c>
      <c r="P60" s="21">
        <v>4510</v>
      </c>
      <c r="Q60" s="20" t="s">
        <v>343</v>
      </c>
      <c r="R60" s="20" t="s">
        <v>291</v>
      </c>
      <c r="S60" s="6" t="s">
        <v>327</v>
      </c>
      <c r="T60" s="10" t="s">
        <v>344</v>
      </c>
      <c r="U60" s="10" t="s">
        <v>329</v>
      </c>
      <c r="V60" s="20" t="s">
        <v>59</v>
      </c>
      <c r="W60" s="21">
        <v>2787164</v>
      </c>
      <c r="X60" s="20" t="s">
        <v>74</v>
      </c>
      <c r="Y60" s="6" t="s">
        <v>346</v>
      </c>
    </row>
    <row r="61" spans="1:25" s="20" customFormat="1" ht="193.2">
      <c r="A61" s="20" t="s">
        <v>39</v>
      </c>
      <c r="B61" s="19" t="s">
        <v>211</v>
      </c>
      <c r="C61" s="19" t="s">
        <v>348</v>
      </c>
      <c r="D61" s="6" t="s">
        <v>349</v>
      </c>
      <c r="E61" s="6" t="s">
        <v>350</v>
      </c>
      <c r="F61" s="20" t="s">
        <v>40</v>
      </c>
      <c r="G61" s="20" t="s">
        <v>55</v>
      </c>
      <c r="H61" s="20" t="s">
        <v>137</v>
      </c>
      <c r="I61" s="19" t="s">
        <v>308</v>
      </c>
      <c r="J61" s="19" t="s">
        <v>351</v>
      </c>
      <c r="K61" s="20">
        <v>2</v>
      </c>
      <c r="L61" s="20" t="s">
        <v>43</v>
      </c>
      <c r="M61" s="21">
        <v>10690</v>
      </c>
      <c r="N61" s="20" t="s">
        <v>352</v>
      </c>
      <c r="O61" s="22">
        <v>1</v>
      </c>
      <c r="P61" s="21">
        <v>10690</v>
      </c>
      <c r="Q61" s="20" t="s">
        <v>352</v>
      </c>
      <c r="R61" s="20" t="s">
        <v>353</v>
      </c>
      <c r="S61" s="6" t="s">
        <v>354</v>
      </c>
      <c r="T61" s="10" t="s">
        <v>355</v>
      </c>
      <c r="U61" s="10" t="s">
        <v>356</v>
      </c>
      <c r="V61" s="20" t="s">
        <v>59</v>
      </c>
      <c r="W61" s="21">
        <v>10690</v>
      </c>
      <c r="X61" s="20" t="s">
        <v>58</v>
      </c>
      <c r="Y61" s="6" t="s">
        <v>357</v>
      </c>
    </row>
    <row r="62" spans="1:25" s="20" customFormat="1" ht="409.6">
      <c r="A62" s="20" t="s">
        <v>39</v>
      </c>
      <c r="B62" s="19" t="s">
        <v>211</v>
      </c>
      <c r="C62" s="19" t="s">
        <v>358</v>
      </c>
      <c r="D62" s="20" t="s">
        <v>359</v>
      </c>
      <c r="E62" s="6" t="s">
        <v>360</v>
      </c>
      <c r="F62" s="20" t="s">
        <v>40</v>
      </c>
      <c r="G62" s="20" t="s">
        <v>55</v>
      </c>
      <c r="H62" s="20" t="s">
        <v>158</v>
      </c>
      <c r="I62" s="19" t="s">
        <v>308</v>
      </c>
      <c r="J62" s="19" t="s">
        <v>351</v>
      </c>
      <c r="K62" s="20">
        <v>2</v>
      </c>
      <c r="L62" s="20" t="s">
        <v>289</v>
      </c>
      <c r="M62" s="21">
        <v>7950</v>
      </c>
      <c r="N62" s="20" t="s">
        <v>361</v>
      </c>
      <c r="O62" s="22">
        <v>1</v>
      </c>
      <c r="P62" s="21">
        <v>7950</v>
      </c>
      <c r="Q62" s="20" t="s">
        <v>361</v>
      </c>
      <c r="R62" s="20" t="s">
        <v>353</v>
      </c>
      <c r="S62" s="6" t="s">
        <v>327</v>
      </c>
      <c r="T62" s="10" t="s">
        <v>362</v>
      </c>
      <c r="U62" s="10" t="s">
        <v>329</v>
      </c>
      <c r="V62" s="20" t="s">
        <v>59</v>
      </c>
      <c r="W62" s="21">
        <f>(5956595.6+7000124.25)</f>
        <v>12956719.85</v>
      </c>
      <c r="X62" s="20" t="s">
        <v>74</v>
      </c>
      <c r="Y62" s="6" t="s">
        <v>363</v>
      </c>
    </row>
    <row r="63" spans="1:25" s="44" customFormat="1" ht="409.6">
      <c r="A63" s="37" t="s">
        <v>39</v>
      </c>
      <c r="B63" s="38" t="s">
        <v>211</v>
      </c>
      <c r="C63" s="38" t="s">
        <v>494</v>
      </c>
      <c r="D63" s="37" t="s">
        <v>3257</v>
      </c>
      <c r="E63" s="37" t="s">
        <v>3258</v>
      </c>
      <c r="F63" s="37" t="s">
        <v>2880</v>
      </c>
      <c r="G63" s="37" t="s">
        <v>55</v>
      </c>
      <c r="H63" s="37" t="s">
        <v>158</v>
      </c>
      <c r="I63" s="38" t="s">
        <v>246</v>
      </c>
      <c r="J63" s="38" t="s">
        <v>3259</v>
      </c>
      <c r="K63" s="37">
        <v>11</v>
      </c>
      <c r="L63" s="37" t="s">
        <v>289</v>
      </c>
      <c r="M63" s="39">
        <v>58000</v>
      </c>
      <c r="N63" s="37" t="s">
        <v>3260</v>
      </c>
      <c r="O63" s="40">
        <v>0.5</v>
      </c>
      <c r="P63" s="39">
        <v>1450</v>
      </c>
      <c r="Q63" s="37" t="s">
        <v>3261</v>
      </c>
      <c r="R63" s="37" t="s">
        <v>1509</v>
      </c>
      <c r="S63" s="37" t="s">
        <v>3262</v>
      </c>
      <c r="T63" s="41" t="s">
        <v>3263</v>
      </c>
      <c r="U63" s="41" t="s">
        <v>3264</v>
      </c>
      <c r="V63" s="37" t="s">
        <v>59</v>
      </c>
      <c r="W63" s="39">
        <v>58000</v>
      </c>
      <c r="X63" s="37" t="s">
        <v>74</v>
      </c>
      <c r="Y63" s="37" t="s">
        <v>3265</v>
      </c>
    </row>
    <row r="64" spans="1:25" s="44" customFormat="1" ht="409.6">
      <c r="A64" s="37" t="s">
        <v>39</v>
      </c>
      <c r="B64" s="38" t="s">
        <v>211</v>
      </c>
      <c r="C64" s="38" t="s">
        <v>505</v>
      </c>
      <c r="D64" s="37" t="s">
        <v>3266</v>
      </c>
      <c r="E64" s="37" t="s">
        <v>3267</v>
      </c>
      <c r="F64" s="37" t="s">
        <v>2880</v>
      </c>
      <c r="G64" s="37" t="s">
        <v>55</v>
      </c>
      <c r="H64" s="37" t="s">
        <v>3268</v>
      </c>
      <c r="I64" s="38" t="s">
        <v>277</v>
      </c>
      <c r="J64" s="38" t="s">
        <v>587</v>
      </c>
      <c r="K64" s="37">
        <v>12</v>
      </c>
      <c r="L64" s="37" t="s">
        <v>289</v>
      </c>
      <c r="M64" s="39">
        <v>125925</v>
      </c>
      <c r="N64" s="37" t="s">
        <v>3269</v>
      </c>
      <c r="O64" s="40">
        <v>1</v>
      </c>
      <c r="P64" s="39">
        <v>44671.71</v>
      </c>
      <c r="Q64" s="37" t="s">
        <v>3270</v>
      </c>
      <c r="R64" s="37" t="s">
        <v>1509</v>
      </c>
      <c r="S64" s="37" t="s">
        <v>3271</v>
      </c>
      <c r="T64" s="41" t="s">
        <v>3272</v>
      </c>
      <c r="U64" s="41" t="s">
        <v>3273</v>
      </c>
      <c r="V64" s="37" t="s">
        <v>59</v>
      </c>
      <c r="W64" s="39">
        <v>2090000</v>
      </c>
      <c r="X64" s="37" t="s">
        <v>58</v>
      </c>
      <c r="Y64" s="37"/>
    </row>
    <row r="65" spans="1:25" s="20" customFormat="1" ht="165.6">
      <c r="A65" s="20" t="s">
        <v>39</v>
      </c>
      <c r="B65" s="19" t="s">
        <v>364</v>
      </c>
      <c r="C65" s="19" t="s">
        <v>80</v>
      </c>
      <c r="D65" s="6" t="s">
        <v>365</v>
      </c>
      <c r="E65" s="6" t="s">
        <v>366</v>
      </c>
      <c r="F65" s="20" t="s">
        <v>40</v>
      </c>
      <c r="G65" s="20" t="s">
        <v>55</v>
      </c>
      <c r="H65" s="6" t="s">
        <v>325</v>
      </c>
      <c r="I65" s="19" t="s">
        <v>367</v>
      </c>
      <c r="J65" s="19" t="s">
        <v>368</v>
      </c>
      <c r="K65" s="20">
        <v>22</v>
      </c>
      <c r="L65" s="6" t="s">
        <v>43</v>
      </c>
      <c r="M65" s="21">
        <v>36900</v>
      </c>
      <c r="N65" s="20" t="s">
        <v>369</v>
      </c>
      <c r="O65" s="22">
        <v>1</v>
      </c>
      <c r="P65" s="21">
        <v>36900</v>
      </c>
      <c r="Q65" s="20" t="s">
        <v>369</v>
      </c>
      <c r="R65" s="20" t="s">
        <v>370</v>
      </c>
      <c r="S65" s="6" t="s">
        <v>371</v>
      </c>
      <c r="T65" s="10" t="s">
        <v>372</v>
      </c>
      <c r="U65" s="10" t="s">
        <v>373</v>
      </c>
      <c r="V65" s="20" t="s">
        <v>59</v>
      </c>
      <c r="W65" s="21">
        <v>36900</v>
      </c>
      <c r="X65" s="20" t="s">
        <v>58</v>
      </c>
      <c r="Y65" s="6" t="s">
        <v>374</v>
      </c>
    </row>
    <row r="66" spans="1:25" s="20" customFormat="1" ht="409.6">
      <c r="A66" s="20" t="s">
        <v>39</v>
      </c>
      <c r="B66" s="19" t="s">
        <v>364</v>
      </c>
      <c r="C66" s="19" t="s">
        <v>93</v>
      </c>
      <c r="D66" s="20" t="s">
        <v>375</v>
      </c>
      <c r="E66" s="6" t="s">
        <v>376</v>
      </c>
      <c r="F66" s="20" t="s">
        <v>40</v>
      </c>
      <c r="G66" s="20" t="s">
        <v>55</v>
      </c>
      <c r="H66" s="20" t="s">
        <v>49</v>
      </c>
      <c r="I66" s="19" t="s">
        <v>308</v>
      </c>
      <c r="J66" s="19" t="s">
        <v>377</v>
      </c>
      <c r="K66" s="20">
        <v>6</v>
      </c>
      <c r="L66" s="6" t="s">
        <v>289</v>
      </c>
      <c r="M66" s="21">
        <v>24000</v>
      </c>
      <c r="N66" s="20" t="s">
        <v>378</v>
      </c>
      <c r="O66" s="22">
        <v>1</v>
      </c>
      <c r="P66" s="21">
        <v>24000</v>
      </c>
      <c r="Q66" s="20" t="s">
        <v>378</v>
      </c>
      <c r="R66" s="20" t="s">
        <v>379</v>
      </c>
      <c r="S66" s="6" t="s">
        <v>380</v>
      </c>
      <c r="T66" s="10" t="s">
        <v>381</v>
      </c>
      <c r="U66" s="10" t="s">
        <v>382</v>
      </c>
      <c r="V66" s="20" t="s">
        <v>59</v>
      </c>
      <c r="W66" s="23">
        <f>(7000124.25+5956595.6+12616059.32+109486.26)</f>
        <v>25682265.430000003</v>
      </c>
      <c r="X66" s="20" t="s">
        <v>74</v>
      </c>
    </row>
    <row r="67" spans="1:25" s="20" customFormat="1" ht="409.6">
      <c r="A67" s="20" t="s">
        <v>39</v>
      </c>
      <c r="B67" s="19" t="s">
        <v>364</v>
      </c>
      <c r="C67" s="19" t="s">
        <v>104</v>
      </c>
      <c r="D67" s="6" t="s">
        <v>383</v>
      </c>
      <c r="E67" s="6" t="s">
        <v>385</v>
      </c>
      <c r="F67" s="20" t="s">
        <v>40</v>
      </c>
      <c r="G67" s="20" t="s">
        <v>55</v>
      </c>
      <c r="H67" s="20" t="s">
        <v>384</v>
      </c>
      <c r="I67" s="19" t="s">
        <v>351</v>
      </c>
      <c r="J67" s="19" t="s">
        <v>367</v>
      </c>
      <c r="K67" s="20">
        <v>2</v>
      </c>
      <c r="L67" s="20" t="s">
        <v>289</v>
      </c>
      <c r="M67" s="21">
        <v>4775</v>
      </c>
      <c r="N67" s="20" t="s">
        <v>386</v>
      </c>
      <c r="O67" s="22">
        <v>1</v>
      </c>
      <c r="P67" s="21">
        <v>4775</v>
      </c>
      <c r="Q67" s="20" t="s">
        <v>386</v>
      </c>
      <c r="R67" s="6" t="s">
        <v>387</v>
      </c>
      <c r="S67" s="6" t="s">
        <v>327</v>
      </c>
      <c r="T67" s="10" t="s">
        <v>388</v>
      </c>
      <c r="U67" s="10" t="s">
        <v>329</v>
      </c>
      <c r="V67" s="20" t="s">
        <v>59</v>
      </c>
      <c r="W67" s="21">
        <v>8995424.3100000005</v>
      </c>
      <c r="X67" s="20" t="s">
        <v>58</v>
      </c>
      <c r="Y67" s="6" t="s">
        <v>389</v>
      </c>
    </row>
    <row r="68" spans="1:25" s="6" customFormat="1" ht="248.4">
      <c r="A68" s="6" t="s">
        <v>39</v>
      </c>
      <c r="B68" s="7" t="s">
        <v>364</v>
      </c>
      <c r="C68" s="7" t="s">
        <v>113</v>
      </c>
      <c r="D68" s="6" t="s">
        <v>390</v>
      </c>
      <c r="E68" s="6" t="s">
        <v>391</v>
      </c>
      <c r="F68" s="6" t="s">
        <v>40</v>
      </c>
      <c r="G68" s="6" t="s">
        <v>55</v>
      </c>
      <c r="H68" s="6" t="s">
        <v>392</v>
      </c>
      <c r="I68" s="7" t="s">
        <v>351</v>
      </c>
      <c r="J68" s="7" t="s">
        <v>367</v>
      </c>
      <c r="K68" s="6">
        <v>2</v>
      </c>
      <c r="L68" s="6" t="s">
        <v>289</v>
      </c>
      <c r="M68" s="8">
        <v>9915</v>
      </c>
      <c r="N68" s="6" t="s">
        <v>393</v>
      </c>
      <c r="O68" s="24">
        <v>1</v>
      </c>
      <c r="P68" s="8">
        <v>9915</v>
      </c>
      <c r="Q68" s="6" t="s">
        <v>393</v>
      </c>
      <c r="R68" s="6" t="s">
        <v>394</v>
      </c>
      <c r="S68" s="6" t="s">
        <v>395</v>
      </c>
      <c r="T68" s="10" t="s">
        <v>396</v>
      </c>
      <c r="U68" s="10" t="s">
        <v>397</v>
      </c>
      <c r="V68" s="6" t="s">
        <v>59</v>
      </c>
      <c r="W68" s="8">
        <v>16281834.09</v>
      </c>
      <c r="X68" s="6" t="s">
        <v>74</v>
      </c>
      <c r="Y68" s="6" t="s">
        <v>398</v>
      </c>
    </row>
    <row r="69" spans="1:25" s="42" customFormat="1" ht="96.6">
      <c r="A69" s="37" t="s">
        <v>39</v>
      </c>
      <c r="B69" s="49" t="s">
        <v>364</v>
      </c>
      <c r="C69" s="49" t="s">
        <v>167</v>
      </c>
      <c r="D69" s="37" t="s">
        <v>1278</v>
      </c>
      <c r="E69" s="37" t="s">
        <v>3815</v>
      </c>
      <c r="F69" s="37" t="s">
        <v>1278</v>
      </c>
      <c r="G69" s="37" t="s">
        <v>55</v>
      </c>
      <c r="H69" s="37" t="s">
        <v>325</v>
      </c>
      <c r="I69" s="49" t="s">
        <v>461</v>
      </c>
      <c r="J69" s="49" t="s">
        <v>461</v>
      </c>
      <c r="K69" s="48" t="s">
        <v>461</v>
      </c>
      <c r="L69" s="37" t="s">
        <v>43</v>
      </c>
      <c r="M69" s="45" t="s">
        <v>461</v>
      </c>
      <c r="N69" s="48" t="s">
        <v>461</v>
      </c>
      <c r="O69" s="50" t="s">
        <v>461</v>
      </c>
      <c r="P69" s="45" t="s">
        <v>461</v>
      </c>
      <c r="Q69" s="48" t="s">
        <v>461</v>
      </c>
      <c r="R69" s="48" t="s">
        <v>461</v>
      </c>
      <c r="S69" s="48" t="s">
        <v>461</v>
      </c>
      <c r="T69" s="48" t="s">
        <v>461</v>
      </c>
      <c r="U69" s="48" t="s">
        <v>461</v>
      </c>
      <c r="V69" s="37" t="s">
        <v>59</v>
      </c>
      <c r="W69" s="45" t="s">
        <v>461</v>
      </c>
      <c r="X69" s="48" t="s">
        <v>461</v>
      </c>
      <c r="Y69" s="48" t="s">
        <v>461</v>
      </c>
    </row>
    <row r="70" spans="1:25" s="44" customFormat="1" ht="193.2">
      <c r="A70" s="37" t="s">
        <v>39</v>
      </c>
      <c r="B70" s="38" t="s">
        <v>364</v>
      </c>
      <c r="C70" s="38" t="s">
        <v>176</v>
      </c>
      <c r="D70" s="37" t="s">
        <v>3274</v>
      </c>
      <c r="E70" s="37" t="s">
        <v>3275</v>
      </c>
      <c r="F70" s="37" t="s">
        <v>2880</v>
      </c>
      <c r="G70" s="37" t="s">
        <v>55</v>
      </c>
      <c r="H70" s="37" t="s">
        <v>613</v>
      </c>
      <c r="I70" s="38" t="s">
        <v>367</v>
      </c>
      <c r="J70" s="38" t="s">
        <v>489</v>
      </c>
      <c r="K70" s="37">
        <v>16</v>
      </c>
      <c r="L70" s="37" t="s">
        <v>289</v>
      </c>
      <c r="M70" s="39">
        <v>5037820</v>
      </c>
      <c r="N70" s="37" t="s">
        <v>3277</v>
      </c>
      <c r="O70" s="40">
        <v>0.1</v>
      </c>
      <c r="P70" s="39">
        <v>450000</v>
      </c>
      <c r="Q70" s="37" t="s">
        <v>3276</v>
      </c>
      <c r="R70" s="37" t="s">
        <v>3278</v>
      </c>
      <c r="S70" s="37" t="s">
        <v>3279</v>
      </c>
      <c r="T70" s="41" t="s">
        <v>3280</v>
      </c>
      <c r="U70" s="41" t="s">
        <v>3281</v>
      </c>
      <c r="V70" s="37">
        <v>25</v>
      </c>
      <c r="W70" s="39">
        <v>388199669.85000002</v>
      </c>
      <c r="X70" s="37" t="s">
        <v>58</v>
      </c>
      <c r="Y70" s="37"/>
    </row>
    <row r="71" spans="1:25" s="20" customFormat="1" ht="262.2">
      <c r="A71" s="20" t="s">
        <v>39</v>
      </c>
      <c r="B71" s="19" t="s">
        <v>364</v>
      </c>
      <c r="C71" s="19" t="s">
        <v>183</v>
      </c>
      <c r="D71" s="6" t="s">
        <v>399</v>
      </c>
      <c r="E71" s="6" t="s">
        <v>400</v>
      </c>
      <c r="F71" s="20" t="s">
        <v>40</v>
      </c>
      <c r="G71" s="20" t="s">
        <v>55</v>
      </c>
      <c r="H71" s="20" t="s">
        <v>384</v>
      </c>
      <c r="I71" s="19" t="s">
        <v>367</v>
      </c>
      <c r="J71" s="19" t="s">
        <v>367</v>
      </c>
      <c r="K71" s="20">
        <v>1</v>
      </c>
      <c r="L71" s="20" t="s">
        <v>289</v>
      </c>
      <c r="M71" s="21">
        <v>3760</v>
      </c>
      <c r="N71" s="20" t="s">
        <v>401</v>
      </c>
      <c r="O71" s="22">
        <v>1</v>
      </c>
      <c r="P71" s="21">
        <v>3760</v>
      </c>
      <c r="Q71" s="20" t="s">
        <v>401</v>
      </c>
      <c r="R71" s="20" t="s">
        <v>387</v>
      </c>
      <c r="S71" s="6" t="s">
        <v>402</v>
      </c>
      <c r="T71" s="10" t="s">
        <v>403</v>
      </c>
      <c r="U71" s="10" t="s">
        <v>404</v>
      </c>
      <c r="V71" s="20" t="s">
        <v>59</v>
      </c>
      <c r="W71" s="21">
        <v>2805062</v>
      </c>
      <c r="X71" s="20" t="s">
        <v>58</v>
      </c>
      <c r="Y71" s="6" t="s">
        <v>405</v>
      </c>
    </row>
    <row r="72" spans="1:25" s="44" customFormat="1" ht="207">
      <c r="A72" s="37" t="s">
        <v>39</v>
      </c>
      <c r="B72" s="38" t="s">
        <v>364</v>
      </c>
      <c r="C72" s="38" t="s">
        <v>114</v>
      </c>
      <c r="D72" s="37" t="s">
        <v>1</v>
      </c>
      <c r="E72" s="37" t="s">
        <v>3282</v>
      </c>
      <c r="F72" s="37" t="s">
        <v>2880</v>
      </c>
      <c r="G72" s="37" t="s">
        <v>55</v>
      </c>
      <c r="H72" s="37" t="s">
        <v>657</v>
      </c>
      <c r="I72" s="38" t="s">
        <v>299</v>
      </c>
      <c r="J72" s="38" t="s">
        <v>780</v>
      </c>
      <c r="K72" s="37">
        <v>26</v>
      </c>
      <c r="L72" s="37" t="s">
        <v>289</v>
      </c>
      <c r="M72" s="39">
        <v>426825</v>
      </c>
      <c r="N72" s="37" t="s">
        <v>3283</v>
      </c>
      <c r="O72" s="40">
        <v>1</v>
      </c>
      <c r="P72" s="39">
        <v>73076.63</v>
      </c>
      <c r="Q72" s="37" t="s">
        <v>3284</v>
      </c>
      <c r="R72" s="37" t="s">
        <v>1509</v>
      </c>
      <c r="S72" s="37" t="s">
        <v>3285</v>
      </c>
      <c r="T72" s="41" t="s">
        <v>3286</v>
      </c>
      <c r="U72" s="41" t="s">
        <v>3287</v>
      </c>
      <c r="V72" s="37" t="s">
        <v>59</v>
      </c>
      <c r="W72" s="39">
        <v>13850716.91</v>
      </c>
      <c r="X72" s="37" t="s">
        <v>58</v>
      </c>
      <c r="Y72" s="37"/>
    </row>
    <row r="73" spans="1:25" s="20" customFormat="1" ht="409.6">
      <c r="A73" s="20" t="s">
        <v>39</v>
      </c>
      <c r="B73" s="19" t="s">
        <v>364</v>
      </c>
      <c r="C73" s="19" t="s">
        <v>125</v>
      </c>
      <c r="D73" s="20" t="s">
        <v>406</v>
      </c>
      <c r="E73" s="6" t="s">
        <v>407</v>
      </c>
      <c r="F73" s="20" t="s">
        <v>40</v>
      </c>
      <c r="G73" s="20" t="s">
        <v>55</v>
      </c>
      <c r="H73" s="20" t="s">
        <v>384</v>
      </c>
      <c r="I73" s="19" t="s">
        <v>367</v>
      </c>
      <c r="J73" s="19" t="s">
        <v>367</v>
      </c>
      <c r="K73" s="20">
        <v>1</v>
      </c>
      <c r="L73" s="20" t="s">
        <v>289</v>
      </c>
      <c r="M73" s="21">
        <v>11000</v>
      </c>
      <c r="N73" s="20" t="s">
        <v>408</v>
      </c>
      <c r="O73" s="22">
        <v>1</v>
      </c>
      <c r="P73" s="21">
        <v>11000</v>
      </c>
      <c r="Q73" s="20" t="s">
        <v>408</v>
      </c>
      <c r="R73" s="6" t="s">
        <v>409</v>
      </c>
      <c r="S73" s="6" t="s">
        <v>410</v>
      </c>
      <c r="T73" s="10" t="s">
        <v>411</v>
      </c>
      <c r="U73" s="10" t="s">
        <v>412</v>
      </c>
      <c r="V73" s="20" t="s">
        <v>59</v>
      </c>
      <c r="W73" s="25" t="s">
        <v>414</v>
      </c>
      <c r="X73" s="20" t="s">
        <v>74</v>
      </c>
      <c r="Y73" s="6" t="s">
        <v>413</v>
      </c>
    </row>
    <row r="74" spans="1:25" s="20" customFormat="1" ht="193.2">
      <c r="A74" s="20" t="s">
        <v>39</v>
      </c>
      <c r="B74" s="19" t="s">
        <v>364</v>
      </c>
      <c r="C74" s="19" t="s">
        <v>134</v>
      </c>
      <c r="D74" s="20" t="s">
        <v>415</v>
      </c>
      <c r="E74" s="6" t="s">
        <v>416</v>
      </c>
      <c r="F74" s="20" t="s">
        <v>40</v>
      </c>
      <c r="G74" s="20" t="s">
        <v>55</v>
      </c>
      <c r="H74" s="20" t="s">
        <v>333</v>
      </c>
      <c r="I74" s="19" t="s">
        <v>367</v>
      </c>
      <c r="J74" s="19" t="s">
        <v>377</v>
      </c>
      <c r="K74" s="20">
        <v>4</v>
      </c>
      <c r="L74" s="6" t="s">
        <v>43</v>
      </c>
      <c r="M74" s="21">
        <v>8720</v>
      </c>
      <c r="N74" s="20" t="s">
        <v>417</v>
      </c>
      <c r="O74" s="22">
        <v>1</v>
      </c>
      <c r="P74" s="21">
        <v>8720</v>
      </c>
      <c r="Q74" s="20" t="s">
        <v>417</v>
      </c>
      <c r="R74" s="6" t="s">
        <v>257</v>
      </c>
      <c r="S74" s="6" t="s">
        <v>418</v>
      </c>
      <c r="T74" s="10" t="s">
        <v>419</v>
      </c>
      <c r="U74" s="10" t="s">
        <v>420</v>
      </c>
      <c r="V74" s="20" t="s">
        <v>59</v>
      </c>
      <c r="W74" s="21">
        <v>8720</v>
      </c>
      <c r="X74" s="20" t="s">
        <v>74</v>
      </c>
      <c r="Y74" s="6" t="s">
        <v>421</v>
      </c>
    </row>
    <row r="75" spans="1:25" s="20" customFormat="1" ht="409.6">
      <c r="A75" s="20" t="s">
        <v>39</v>
      </c>
      <c r="B75" s="19" t="s">
        <v>364</v>
      </c>
      <c r="C75" s="19" t="s">
        <v>191</v>
      </c>
      <c r="D75" s="20" t="s">
        <v>422</v>
      </c>
      <c r="E75" s="6" t="s">
        <v>423</v>
      </c>
      <c r="F75" s="20" t="s">
        <v>40</v>
      </c>
      <c r="G75" s="20" t="s">
        <v>55</v>
      </c>
      <c r="H75" s="20" t="s">
        <v>158</v>
      </c>
      <c r="I75" s="19" t="s">
        <v>299</v>
      </c>
      <c r="J75" s="19" t="s">
        <v>299</v>
      </c>
      <c r="K75" s="20">
        <v>1</v>
      </c>
      <c r="L75" s="20" t="s">
        <v>289</v>
      </c>
      <c r="M75" s="21">
        <v>17850</v>
      </c>
      <c r="N75" s="20" t="s">
        <v>424</v>
      </c>
      <c r="O75" s="22">
        <v>1</v>
      </c>
      <c r="P75" s="21">
        <v>17850</v>
      </c>
      <c r="Q75" s="20" t="s">
        <v>424</v>
      </c>
      <c r="R75" s="6" t="s">
        <v>425</v>
      </c>
      <c r="S75" s="20" t="s">
        <v>426</v>
      </c>
      <c r="T75" s="10" t="s">
        <v>428</v>
      </c>
      <c r="U75" s="10" t="s">
        <v>427</v>
      </c>
      <c r="V75" s="20" t="s">
        <v>59</v>
      </c>
      <c r="W75" s="21">
        <v>18145238</v>
      </c>
      <c r="X75" s="20" t="s">
        <v>58</v>
      </c>
      <c r="Y75" s="6" t="s">
        <v>429</v>
      </c>
    </row>
    <row r="76" spans="1:25" s="20" customFormat="1" ht="409.6">
      <c r="A76" s="20" t="s">
        <v>39</v>
      </c>
      <c r="B76" s="19" t="s">
        <v>364</v>
      </c>
      <c r="C76" s="19" t="s">
        <v>273</v>
      </c>
      <c r="D76" s="6" t="s">
        <v>431</v>
      </c>
      <c r="E76" s="6" t="s">
        <v>432</v>
      </c>
      <c r="F76" s="20" t="s">
        <v>40</v>
      </c>
      <c r="G76" s="20" t="s">
        <v>55</v>
      </c>
      <c r="H76" s="6" t="s">
        <v>433</v>
      </c>
      <c r="I76" s="19" t="s">
        <v>299</v>
      </c>
      <c r="J76" s="19" t="s">
        <v>299</v>
      </c>
      <c r="K76" s="20">
        <v>1</v>
      </c>
      <c r="L76" s="20" t="s">
        <v>289</v>
      </c>
      <c r="M76" s="21">
        <v>4000</v>
      </c>
      <c r="N76" s="20" t="s">
        <v>434</v>
      </c>
      <c r="O76" s="22">
        <v>1</v>
      </c>
      <c r="P76" s="21">
        <v>4000</v>
      </c>
      <c r="Q76" s="20" t="s">
        <v>434</v>
      </c>
      <c r="R76" s="6" t="s">
        <v>387</v>
      </c>
      <c r="S76" s="6" t="s">
        <v>327</v>
      </c>
      <c r="T76" s="10" t="s">
        <v>435</v>
      </c>
      <c r="U76" s="10" t="s">
        <v>436</v>
      </c>
      <c r="V76" s="20" t="s">
        <v>59</v>
      </c>
      <c r="W76" s="21">
        <v>3239462.43</v>
      </c>
      <c r="X76" s="20" t="s">
        <v>58</v>
      </c>
      <c r="Y76" s="6" t="s">
        <v>437</v>
      </c>
    </row>
    <row r="77" spans="1:25" s="20" customFormat="1" ht="207">
      <c r="A77" s="20" t="s">
        <v>39</v>
      </c>
      <c r="B77" s="19" t="s">
        <v>364</v>
      </c>
      <c r="C77" s="19" t="s">
        <v>192</v>
      </c>
      <c r="D77" s="20" t="s">
        <v>438</v>
      </c>
      <c r="E77" s="6" t="s">
        <v>439</v>
      </c>
      <c r="F77" s="20" t="s">
        <v>40</v>
      </c>
      <c r="G77" s="20" t="s">
        <v>438</v>
      </c>
      <c r="H77" s="20" t="s">
        <v>440</v>
      </c>
      <c r="I77" s="19" t="s">
        <v>377</v>
      </c>
      <c r="J77" s="19" t="s">
        <v>441</v>
      </c>
      <c r="K77" s="20">
        <v>6</v>
      </c>
      <c r="L77" s="20" t="s">
        <v>289</v>
      </c>
      <c r="M77" s="21">
        <v>78400</v>
      </c>
      <c r="N77" s="20" t="s">
        <v>442</v>
      </c>
      <c r="O77" s="22">
        <v>1</v>
      </c>
      <c r="P77" s="21">
        <v>78400</v>
      </c>
      <c r="Q77" s="20" t="s">
        <v>442</v>
      </c>
      <c r="R77" s="20" t="s">
        <v>86</v>
      </c>
      <c r="S77" s="6" t="s">
        <v>443</v>
      </c>
      <c r="T77" s="10" t="s">
        <v>444</v>
      </c>
      <c r="U77" s="10" t="s">
        <v>445</v>
      </c>
      <c r="V77" s="20">
        <v>1.7</v>
      </c>
      <c r="W77" s="21">
        <v>417563.05</v>
      </c>
      <c r="X77" s="20" t="s">
        <v>74</v>
      </c>
      <c r="Y77" s="6" t="s">
        <v>446</v>
      </c>
    </row>
    <row r="78" spans="1:25" s="44" customFormat="1" ht="234.6">
      <c r="A78" s="37" t="s">
        <v>39</v>
      </c>
      <c r="B78" s="38" t="s">
        <v>364</v>
      </c>
      <c r="C78" s="38" t="s">
        <v>201</v>
      </c>
      <c r="D78" s="37" t="s">
        <v>3288</v>
      </c>
      <c r="E78" s="37" t="s">
        <v>3289</v>
      </c>
      <c r="F78" s="37" t="s">
        <v>2880</v>
      </c>
      <c r="G78" s="37" t="s">
        <v>55</v>
      </c>
      <c r="H78" s="37" t="s">
        <v>1113</v>
      </c>
      <c r="I78" s="38" t="s">
        <v>351</v>
      </c>
      <c r="J78" s="38" t="s">
        <v>298</v>
      </c>
      <c r="K78" s="37">
        <v>10</v>
      </c>
      <c r="L78" s="37" t="s">
        <v>2906</v>
      </c>
      <c r="M78" s="39">
        <v>26555.759999999998</v>
      </c>
      <c r="N78" s="37" t="s">
        <v>3290</v>
      </c>
      <c r="O78" s="40">
        <v>1</v>
      </c>
      <c r="P78" s="39">
        <v>26555.759999999998</v>
      </c>
      <c r="Q78" s="37" t="s">
        <v>3290</v>
      </c>
      <c r="R78" s="37" t="s">
        <v>3291</v>
      </c>
      <c r="S78" s="37" t="s">
        <v>3292</v>
      </c>
      <c r="T78" s="41" t="s">
        <v>3293</v>
      </c>
      <c r="U78" s="41" t="s">
        <v>3294</v>
      </c>
      <c r="V78" s="37" t="s">
        <v>59</v>
      </c>
      <c r="W78" s="39">
        <v>301770</v>
      </c>
      <c r="X78" s="37" t="s">
        <v>58</v>
      </c>
      <c r="Y78" s="37"/>
    </row>
    <row r="79" spans="1:25" s="20" customFormat="1" ht="138">
      <c r="A79" s="20" t="s">
        <v>39</v>
      </c>
      <c r="B79" s="19" t="s">
        <v>364</v>
      </c>
      <c r="C79" s="19" t="s">
        <v>285</v>
      </c>
      <c r="D79" s="6" t="s">
        <v>447</v>
      </c>
      <c r="E79" s="6" t="s">
        <v>448</v>
      </c>
      <c r="F79" s="20" t="s">
        <v>40</v>
      </c>
      <c r="G79" s="20" t="s">
        <v>55</v>
      </c>
      <c r="H79" s="20" t="s">
        <v>158</v>
      </c>
      <c r="I79" s="19" t="s">
        <v>377</v>
      </c>
      <c r="J79" s="19" t="s">
        <v>449</v>
      </c>
      <c r="K79" s="20">
        <v>3</v>
      </c>
      <c r="L79" s="6" t="s">
        <v>43</v>
      </c>
      <c r="M79" s="21">
        <v>17000</v>
      </c>
      <c r="N79" s="20" t="s">
        <v>450</v>
      </c>
      <c r="O79" s="22">
        <v>1</v>
      </c>
      <c r="P79" s="21">
        <v>17000</v>
      </c>
      <c r="Q79" s="20" t="s">
        <v>450</v>
      </c>
      <c r="R79" s="6" t="s">
        <v>451</v>
      </c>
      <c r="S79" s="6" t="s">
        <v>452</v>
      </c>
      <c r="T79" s="10" t="s">
        <v>453</v>
      </c>
      <c r="U79" s="10" t="s">
        <v>454</v>
      </c>
      <c r="V79" s="6" t="s">
        <v>455</v>
      </c>
      <c r="W79" s="21">
        <v>17000</v>
      </c>
      <c r="X79" s="20" t="s">
        <v>58</v>
      </c>
    </row>
    <row r="80" spans="1:25" s="20" customFormat="1" ht="234.6">
      <c r="A80" s="20" t="s">
        <v>39</v>
      </c>
      <c r="B80" s="19" t="s">
        <v>364</v>
      </c>
      <c r="C80" s="19" t="s">
        <v>295</v>
      </c>
      <c r="D80" s="6" t="s">
        <v>456</v>
      </c>
      <c r="E80" s="6" t="s">
        <v>457</v>
      </c>
      <c r="F80" s="20" t="s">
        <v>40</v>
      </c>
      <c r="G80" s="20" t="s">
        <v>55</v>
      </c>
      <c r="H80" s="20" t="s">
        <v>384</v>
      </c>
      <c r="I80" s="19" t="s">
        <v>377</v>
      </c>
      <c r="J80" s="19" t="s">
        <v>377</v>
      </c>
      <c r="K80" s="20">
        <v>1</v>
      </c>
      <c r="L80" s="6" t="s">
        <v>289</v>
      </c>
      <c r="M80" s="21">
        <v>5700</v>
      </c>
      <c r="N80" s="20" t="s">
        <v>458</v>
      </c>
      <c r="O80" s="22">
        <v>1</v>
      </c>
      <c r="P80" s="8">
        <v>5700</v>
      </c>
      <c r="Q80" s="20" t="s">
        <v>458</v>
      </c>
      <c r="R80" s="6" t="s">
        <v>409</v>
      </c>
      <c r="S80" s="6" t="s">
        <v>410</v>
      </c>
      <c r="T80" s="10" t="s">
        <v>459</v>
      </c>
      <c r="U80" s="10" t="s">
        <v>460</v>
      </c>
      <c r="V80" s="20" t="s">
        <v>59</v>
      </c>
      <c r="W80" s="20" t="s">
        <v>461</v>
      </c>
      <c r="X80" s="20" t="s">
        <v>74</v>
      </c>
      <c r="Y80" s="6" t="s">
        <v>462</v>
      </c>
    </row>
    <row r="81" spans="1:25" s="20" customFormat="1" ht="234.6">
      <c r="A81" s="20" t="s">
        <v>39</v>
      </c>
      <c r="B81" s="19" t="s">
        <v>364</v>
      </c>
      <c r="C81" s="19" t="s">
        <v>305</v>
      </c>
      <c r="D81" s="6" t="s">
        <v>463</v>
      </c>
      <c r="E81" s="6" t="s">
        <v>464</v>
      </c>
      <c r="F81" s="20" t="s">
        <v>40</v>
      </c>
      <c r="G81" s="20" t="s">
        <v>55</v>
      </c>
      <c r="H81" s="20" t="s">
        <v>465</v>
      </c>
      <c r="I81" s="19" t="s">
        <v>377</v>
      </c>
      <c r="J81" s="7" t="s">
        <v>466</v>
      </c>
      <c r="K81" s="20">
        <v>5</v>
      </c>
      <c r="L81" s="6" t="s">
        <v>43</v>
      </c>
      <c r="M81" s="21">
        <v>8000</v>
      </c>
      <c r="N81" s="20" t="s">
        <v>468</v>
      </c>
      <c r="O81" s="22">
        <v>1</v>
      </c>
      <c r="P81" s="21">
        <v>8000</v>
      </c>
      <c r="Q81" s="20" t="s">
        <v>468</v>
      </c>
      <c r="R81" s="6" t="s">
        <v>257</v>
      </c>
      <c r="S81" s="6" t="s">
        <v>467</v>
      </c>
      <c r="T81" s="10" t="s">
        <v>469</v>
      </c>
      <c r="U81" s="10" t="s">
        <v>470</v>
      </c>
      <c r="V81" s="20" t="s">
        <v>59</v>
      </c>
      <c r="W81" s="21">
        <v>7022621</v>
      </c>
      <c r="X81" s="20" t="s">
        <v>74</v>
      </c>
    </row>
    <row r="82" spans="1:25" s="42" customFormat="1" ht="179.4">
      <c r="A82" s="37" t="s">
        <v>39</v>
      </c>
      <c r="B82" s="38" t="s">
        <v>364</v>
      </c>
      <c r="C82" s="38" t="s">
        <v>314</v>
      </c>
      <c r="D82" s="37" t="s">
        <v>3295</v>
      </c>
      <c r="E82" s="37" t="s">
        <v>3296</v>
      </c>
      <c r="F82" s="37" t="s">
        <v>1278</v>
      </c>
      <c r="G82" s="37" t="s">
        <v>55</v>
      </c>
      <c r="H82" s="37" t="s">
        <v>613</v>
      </c>
      <c r="I82" s="38" t="s">
        <v>449</v>
      </c>
      <c r="J82" s="38" t="s">
        <v>449</v>
      </c>
      <c r="K82" s="37">
        <v>1</v>
      </c>
      <c r="L82" s="37" t="s">
        <v>43</v>
      </c>
      <c r="M82" s="39">
        <v>4960</v>
      </c>
      <c r="N82" s="37" t="s">
        <v>3297</v>
      </c>
      <c r="O82" s="40">
        <v>1</v>
      </c>
      <c r="P82" s="39">
        <v>4960</v>
      </c>
      <c r="Q82" s="37" t="s">
        <v>3297</v>
      </c>
      <c r="R82" s="37" t="s">
        <v>1509</v>
      </c>
      <c r="S82" s="37" t="s">
        <v>3298</v>
      </c>
      <c r="T82" s="41" t="s">
        <v>3299</v>
      </c>
      <c r="U82" s="41" t="s">
        <v>3300</v>
      </c>
      <c r="V82" s="37" t="s">
        <v>59</v>
      </c>
      <c r="W82" s="39">
        <v>4960</v>
      </c>
      <c r="X82" s="37" t="s">
        <v>58</v>
      </c>
      <c r="Y82" s="37"/>
    </row>
    <row r="83" spans="1:25" s="44" customFormat="1" ht="409.6">
      <c r="A83" s="37" t="s">
        <v>39</v>
      </c>
      <c r="B83" s="38" t="s">
        <v>364</v>
      </c>
      <c r="C83" s="38" t="s">
        <v>323</v>
      </c>
      <c r="D83" s="37" t="s">
        <v>3301</v>
      </c>
      <c r="E83" s="37" t="s">
        <v>3302</v>
      </c>
      <c r="F83" s="37" t="s">
        <v>2880</v>
      </c>
      <c r="G83" s="37" t="s">
        <v>55</v>
      </c>
      <c r="H83" s="37" t="s">
        <v>3303</v>
      </c>
      <c r="I83" s="38" t="s">
        <v>449</v>
      </c>
      <c r="J83" s="38" t="s">
        <v>586</v>
      </c>
      <c r="K83" s="37">
        <v>10</v>
      </c>
      <c r="L83" s="37" t="s">
        <v>289</v>
      </c>
      <c r="M83" s="39">
        <v>99775</v>
      </c>
      <c r="N83" s="37" t="s">
        <v>3304</v>
      </c>
      <c r="O83" s="40">
        <v>0.2</v>
      </c>
      <c r="P83" s="39">
        <v>20173.86</v>
      </c>
      <c r="Q83" s="37" t="s">
        <v>3305</v>
      </c>
      <c r="R83" s="37" t="s">
        <v>1509</v>
      </c>
      <c r="S83" s="37" t="s">
        <v>3306</v>
      </c>
      <c r="T83" s="41" t="s">
        <v>3307</v>
      </c>
      <c r="U83" s="41" t="s">
        <v>3308</v>
      </c>
      <c r="V83" s="37" t="s">
        <v>59</v>
      </c>
      <c r="W83" s="39">
        <v>99775</v>
      </c>
      <c r="X83" s="37" t="s">
        <v>58</v>
      </c>
      <c r="Y83" s="37" t="s">
        <v>3309</v>
      </c>
    </row>
    <row r="84" spans="1:25" s="6" customFormat="1" ht="262.2">
      <c r="A84" s="6" t="s">
        <v>39</v>
      </c>
      <c r="B84" s="7" t="s">
        <v>364</v>
      </c>
      <c r="C84" s="7" t="s">
        <v>330</v>
      </c>
      <c r="D84" s="6" t="s">
        <v>471</v>
      </c>
      <c r="E84" s="6" t="s">
        <v>472</v>
      </c>
      <c r="F84" s="6" t="s">
        <v>40</v>
      </c>
      <c r="G84" s="6" t="s">
        <v>54</v>
      </c>
      <c r="H84" s="6" t="s">
        <v>471</v>
      </c>
      <c r="I84" s="7" t="s">
        <v>473</v>
      </c>
      <c r="J84" s="7" t="s">
        <v>466</v>
      </c>
      <c r="K84" s="6">
        <v>2</v>
      </c>
      <c r="L84" s="6" t="s">
        <v>289</v>
      </c>
      <c r="M84" s="8">
        <v>12000</v>
      </c>
      <c r="N84" s="6" t="s">
        <v>474</v>
      </c>
      <c r="O84" s="24">
        <v>1</v>
      </c>
      <c r="P84" s="8">
        <v>12000</v>
      </c>
      <c r="Q84" s="6" t="s">
        <v>474</v>
      </c>
      <c r="R84" s="6" t="s">
        <v>475</v>
      </c>
      <c r="S84" s="6" t="s">
        <v>476</v>
      </c>
      <c r="T84" s="10" t="s">
        <v>477</v>
      </c>
      <c r="U84" s="10" t="s">
        <v>478</v>
      </c>
      <c r="V84" s="6">
        <v>30.1</v>
      </c>
      <c r="W84" s="8">
        <v>158834006.36000001</v>
      </c>
      <c r="X84" s="6" t="s">
        <v>74</v>
      </c>
    </row>
    <row r="85" spans="1:25" s="43" customFormat="1" ht="165.6">
      <c r="A85" s="37" t="s">
        <v>39</v>
      </c>
      <c r="B85" s="37">
        <v>10</v>
      </c>
      <c r="C85" s="38" t="s">
        <v>340</v>
      </c>
      <c r="D85" s="37" t="s">
        <v>3310</v>
      </c>
      <c r="E85" s="37" t="s">
        <v>3311</v>
      </c>
      <c r="F85" s="37" t="s">
        <v>2880</v>
      </c>
      <c r="G85" s="37" t="s">
        <v>55</v>
      </c>
      <c r="H85" s="37" t="s">
        <v>613</v>
      </c>
      <c r="I85" s="38" t="s">
        <v>466</v>
      </c>
      <c r="J85" s="38" t="s">
        <v>441</v>
      </c>
      <c r="K85" s="37">
        <v>1</v>
      </c>
      <c r="L85" s="37" t="s">
        <v>1589</v>
      </c>
      <c r="M85" s="39">
        <v>4320</v>
      </c>
      <c r="N85" s="37" t="s">
        <v>3312</v>
      </c>
      <c r="O85" s="40">
        <v>1</v>
      </c>
      <c r="P85" s="39">
        <v>4320</v>
      </c>
      <c r="Q85" s="37" t="s">
        <v>3312</v>
      </c>
      <c r="R85" s="37" t="s">
        <v>1509</v>
      </c>
      <c r="S85" s="37" t="s">
        <v>3313</v>
      </c>
      <c r="T85" s="41" t="s">
        <v>3314</v>
      </c>
      <c r="U85" s="41" t="s">
        <v>3315</v>
      </c>
      <c r="V85" s="37" t="s">
        <v>59</v>
      </c>
      <c r="W85" s="39">
        <v>4320</v>
      </c>
      <c r="X85" s="37" t="s">
        <v>3316</v>
      </c>
      <c r="Y85" s="37"/>
    </row>
    <row r="86" spans="1:25" s="20" customFormat="1" ht="331.2">
      <c r="A86" s="20" t="s">
        <v>39</v>
      </c>
      <c r="B86" s="19" t="s">
        <v>364</v>
      </c>
      <c r="C86" s="19" t="s">
        <v>348</v>
      </c>
      <c r="D86" s="6" t="s">
        <v>479</v>
      </c>
      <c r="E86" s="6" t="s">
        <v>480</v>
      </c>
      <c r="F86" s="20" t="s">
        <v>40</v>
      </c>
      <c r="G86" s="20" t="s">
        <v>55</v>
      </c>
      <c r="H86" s="20" t="s">
        <v>481</v>
      </c>
      <c r="I86" s="7" t="s">
        <v>466</v>
      </c>
      <c r="J86" s="7" t="s">
        <v>466</v>
      </c>
      <c r="K86" s="20">
        <v>1</v>
      </c>
      <c r="L86" s="20" t="s">
        <v>289</v>
      </c>
      <c r="M86" s="21">
        <v>4000</v>
      </c>
      <c r="N86" s="20" t="s">
        <v>482</v>
      </c>
      <c r="O86" s="22">
        <v>1</v>
      </c>
      <c r="P86" s="21">
        <v>4000</v>
      </c>
      <c r="Q86" s="20" t="s">
        <v>482</v>
      </c>
      <c r="R86" s="20" t="s">
        <v>291</v>
      </c>
      <c r="S86" s="6" t="s">
        <v>483</v>
      </c>
      <c r="T86" s="10" t="s">
        <v>484</v>
      </c>
      <c r="U86" s="10" t="s">
        <v>485</v>
      </c>
      <c r="V86" s="20" t="s">
        <v>59</v>
      </c>
      <c r="W86" s="21">
        <v>7239478</v>
      </c>
      <c r="X86" s="20" t="s">
        <v>74</v>
      </c>
    </row>
    <row r="87" spans="1:25" s="20" customFormat="1" ht="193.2">
      <c r="A87" s="20" t="s">
        <v>39</v>
      </c>
      <c r="B87" s="19" t="s">
        <v>364</v>
      </c>
      <c r="C87" s="19" t="s">
        <v>358</v>
      </c>
      <c r="D87" s="6" t="s">
        <v>486</v>
      </c>
      <c r="E87" s="6" t="s">
        <v>487</v>
      </c>
      <c r="F87" s="20" t="s">
        <v>40</v>
      </c>
      <c r="G87" s="20" t="s">
        <v>55</v>
      </c>
      <c r="H87" s="20" t="s">
        <v>488</v>
      </c>
      <c r="I87" s="7" t="s">
        <v>466</v>
      </c>
      <c r="J87" s="19" t="s">
        <v>489</v>
      </c>
      <c r="K87" s="20">
        <v>9</v>
      </c>
      <c r="L87" s="6" t="s">
        <v>43</v>
      </c>
      <c r="M87" s="21">
        <v>6000</v>
      </c>
      <c r="N87" s="20" t="s">
        <v>490</v>
      </c>
      <c r="O87" s="22">
        <v>1</v>
      </c>
      <c r="P87" s="21">
        <v>6000</v>
      </c>
      <c r="Q87" s="20" t="s">
        <v>490</v>
      </c>
      <c r="R87" s="6" t="s">
        <v>257</v>
      </c>
      <c r="S87" s="6" t="s">
        <v>491</v>
      </c>
      <c r="T87" s="10" t="s">
        <v>492</v>
      </c>
      <c r="U87" s="10" t="s">
        <v>493</v>
      </c>
      <c r="V87" s="20" t="s">
        <v>59</v>
      </c>
      <c r="W87" s="21">
        <v>1671900</v>
      </c>
      <c r="X87" s="20" t="s">
        <v>74</v>
      </c>
    </row>
    <row r="88" spans="1:25" s="20" customFormat="1" ht="303.60000000000002">
      <c r="A88" s="20" t="s">
        <v>39</v>
      </c>
      <c r="B88" s="19" t="s">
        <v>364</v>
      </c>
      <c r="C88" s="19" t="s">
        <v>494</v>
      </c>
      <c r="D88" s="20" t="s">
        <v>495</v>
      </c>
      <c r="E88" s="6" t="s">
        <v>496</v>
      </c>
      <c r="F88" s="20" t="s">
        <v>40</v>
      </c>
      <c r="G88" s="20" t="s">
        <v>497</v>
      </c>
      <c r="H88" s="20" t="s">
        <v>497</v>
      </c>
      <c r="I88" s="7" t="s">
        <v>466</v>
      </c>
      <c r="J88" s="7" t="s">
        <v>498</v>
      </c>
      <c r="K88" s="20">
        <v>4</v>
      </c>
      <c r="L88" s="6" t="s">
        <v>43</v>
      </c>
      <c r="M88" s="21">
        <v>18500</v>
      </c>
      <c r="N88" s="20" t="s">
        <v>499</v>
      </c>
      <c r="O88" s="22">
        <v>1</v>
      </c>
      <c r="P88" s="21">
        <v>18500</v>
      </c>
      <c r="Q88" s="20" t="s">
        <v>499</v>
      </c>
      <c r="R88" s="6" t="s">
        <v>475</v>
      </c>
      <c r="S88" s="6" t="s">
        <v>500</v>
      </c>
      <c r="T88" s="10" t="s">
        <v>501</v>
      </c>
      <c r="U88" s="10" t="s">
        <v>502</v>
      </c>
      <c r="V88" s="6" t="s">
        <v>503</v>
      </c>
      <c r="W88" s="21">
        <v>18500</v>
      </c>
      <c r="X88" s="20" t="s">
        <v>74</v>
      </c>
      <c r="Y88" s="6" t="s">
        <v>504</v>
      </c>
    </row>
    <row r="89" spans="1:25" s="6" customFormat="1" ht="331.2">
      <c r="A89" s="6" t="s">
        <v>39</v>
      </c>
      <c r="B89" s="7" t="s">
        <v>364</v>
      </c>
      <c r="C89" s="7" t="s">
        <v>505</v>
      </c>
      <c r="D89" s="6" t="s">
        <v>506</v>
      </c>
      <c r="E89" s="6" t="s">
        <v>507</v>
      </c>
      <c r="F89" s="6" t="s">
        <v>40</v>
      </c>
      <c r="G89" s="6" t="s">
        <v>55</v>
      </c>
      <c r="H89" s="6" t="s">
        <v>508</v>
      </c>
      <c r="I89" s="7" t="s">
        <v>466</v>
      </c>
      <c r="J89" s="7" t="s">
        <v>498</v>
      </c>
      <c r="K89" s="6">
        <v>3</v>
      </c>
      <c r="L89" s="6" t="s">
        <v>43</v>
      </c>
      <c r="M89" s="8">
        <v>7210</v>
      </c>
      <c r="N89" s="6" t="s">
        <v>509</v>
      </c>
      <c r="O89" s="24">
        <v>1</v>
      </c>
      <c r="P89" s="8">
        <v>7210</v>
      </c>
      <c r="Q89" s="6" t="s">
        <v>509</v>
      </c>
      <c r="R89" s="6" t="s">
        <v>196</v>
      </c>
      <c r="S89" s="6" t="s">
        <v>510</v>
      </c>
      <c r="T89" s="10" t="s">
        <v>511</v>
      </c>
      <c r="U89" s="10" t="s">
        <v>512</v>
      </c>
      <c r="V89" s="6" t="s">
        <v>59</v>
      </c>
      <c r="W89" s="8">
        <v>32854324.609999999</v>
      </c>
      <c r="X89" s="6" t="s">
        <v>58</v>
      </c>
      <c r="Y89" s="6" t="s">
        <v>513</v>
      </c>
    </row>
    <row r="90" spans="1:25" s="6" customFormat="1" ht="151.80000000000001">
      <c r="A90" s="6" t="s">
        <v>39</v>
      </c>
      <c r="B90" s="7" t="s">
        <v>364</v>
      </c>
      <c r="C90" s="7" t="s">
        <v>514</v>
      </c>
      <c r="D90" s="6" t="s">
        <v>515</v>
      </c>
      <c r="E90" s="6" t="s">
        <v>516</v>
      </c>
      <c r="F90" s="6" t="s">
        <v>40</v>
      </c>
      <c r="G90" s="6" t="s">
        <v>55</v>
      </c>
      <c r="H90" s="6" t="s">
        <v>517</v>
      </c>
      <c r="I90" s="7" t="s">
        <v>298</v>
      </c>
      <c r="J90" s="7" t="s">
        <v>298</v>
      </c>
      <c r="K90" s="6">
        <v>1</v>
      </c>
      <c r="L90" s="6" t="s">
        <v>43</v>
      </c>
      <c r="M90" s="8">
        <v>3000</v>
      </c>
      <c r="N90" s="6" t="s">
        <v>518</v>
      </c>
      <c r="O90" s="24">
        <v>1</v>
      </c>
      <c r="P90" s="8">
        <v>3000</v>
      </c>
      <c r="Q90" s="6" t="s">
        <v>518</v>
      </c>
      <c r="R90" s="6" t="s">
        <v>196</v>
      </c>
      <c r="S90" s="6" t="s">
        <v>519</v>
      </c>
      <c r="T90" s="10" t="s">
        <v>520</v>
      </c>
      <c r="U90" s="10" t="s">
        <v>521</v>
      </c>
      <c r="V90" s="6" t="s">
        <v>59</v>
      </c>
      <c r="W90" s="8">
        <v>3000</v>
      </c>
      <c r="X90" s="6" t="s">
        <v>74</v>
      </c>
    </row>
    <row r="91" spans="1:25" s="6" customFormat="1" ht="276">
      <c r="A91" s="6" t="s">
        <v>39</v>
      </c>
      <c r="B91" s="7" t="s">
        <v>364</v>
      </c>
      <c r="C91" s="7" t="s">
        <v>522</v>
      </c>
      <c r="D91" s="6" t="s">
        <v>523</v>
      </c>
      <c r="E91" s="6" t="s">
        <v>524</v>
      </c>
      <c r="F91" s="6" t="s">
        <v>40</v>
      </c>
      <c r="G91" s="6" t="s">
        <v>55</v>
      </c>
      <c r="H91" s="6" t="s">
        <v>384</v>
      </c>
      <c r="I91" s="7" t="s">
        <v>466</v>
      </c>
      <c r="J91" s="7" t="s">
        <v>466</v>
      </c>
      <c r="K91" s="6">
        <v>1</v>
      </c>
      <c r="L91" s="6" t="s">
        <v>289</v>
      </c>
      <c r="M91" s="8">
        <v>11500</v>
      </c>
      <c r="N91" s="6" t="s">
        <v>527</v>
      </c>
      <c r="O91" s="24">
        <v>1</v>
      </c>
      <c r="P91" s="8">
        <v>11500</v>
      </c>
      <c r="Q91" s="6" t="s">
        <v>527</v>
      </c>
      <c r="R91" s="6" t="s">
        <v>409</v>
      </c>
      <c r="S91" s="6" t="s">
        <v>410</v>
      </c>
      <c r="T91" s="10" t="s">
        <v>525</v>
      </c>
      <c r="U91" s="10" t="s">
        <v>526</v>
      </c>
      <c r="V91" s="6" t="s">
        <v>59</v>
      </c>
      <c r="W91" s="8">
        <v>6156989.1600000001</v>
      </c>
      <c r="X91" s="6" t="s">
        <v>58</v>
      </c>
    </row>
    <row r="92" spans="1:25" s="6" customFormat="1" ht="179.4">
      <c r="A92" s="6" t="s">
        <v>39</v>
      </c>
      <c r="B92" s="7" t="s">
        <v>364</v>
      </c>
      <c r="C92" s="7" t="s">
        <v>528</v>
      </c>
      <c r="D92" s="6" t="s">
        <v>529</v>
      </c>
      <c r="E92" s="6" t="s">
        <v>530</v>
      </c>
      <c r="F92" s="6" t="s">
        <v>40</v>
      </c>
      <c r="G92" s="6" t="s">
        <v>55</v>
      </c>
      <c r="H92" s="6" t="s">
        <v>158</v>
      </c>
      <c r="I92" s="7" t="s">
        <v>441</v>
      </c>
      <c r="J92" s="7" t="s">
        <v>531</v>
      </c>
      <c r="K92" s="6">
        <v>12</v>
      </c>
      <c r="L92" s="6" t="s">
        <v>43</v>
      </c>
      <c r="M92" s="8">
        <v>29475</v>
      </c>
      <c r="N92" s="6" t="s">
        <v>532</v>
      </c>
      <c r="O92" s="24">
        <v>1</v>
      </c>
      <c r="P92" s="8">
        <v>29475</v>
      </c>
      <c r="Q92" s="6" t="s">
        <v>532</v>
      </c>
      <c r="R92" s="6" t="s">
        <v>0</v>
      </c>
      <c r="S92" s="6" t="s">
        <v>533</v>
      </c>
      <c r="T92" s="10" t="s">
        <v>534</v>
      </c>
      <c r="U92" s="10" t="s">
        <v>535</v>
      </c>
      <c r="V92" s="6" t="s">
        <v>59</v>
      </c>
      <c r="W92" s="8">
        <v>29475</v>
      </c>
      <c r="X92" s="6" t="s">
        <v>58</v>
      </c>
    </row>
    <row r="93" spans="1:25" s="6" customFormat="1" ht="372.6">
      <c r="A93" s="6" t="s">
        <v>39</v>
      </c>
      <c r="B93" s="7" t="s">
        <v>364</v>
      </c>
      <c r="C93" s="7" t="s">
        <v>536</v>
      </c>
      <c r="D93" s="6" t="s">
        <v>537</v>
      </c>
      <c r="E93" s="6" t="s">
        <v>538</v>
      </c>
      <c r="F93" s="6" t="s">
        <v>40</v>
      </c>
      <c r="G93" s="6" t="s">
        <v>274</v>
      </c>
      <c r="H93" s="6" t="s">
        <v>276</v>
      </c>
      <c r="I93" s="7" t="s">
        <v>466</v>
      </c>
      <c r="J93" s="7" t="s">
        <v>498</v>
      </c>
      <c r="K93" s="6">
        <v>4</v>
      </c>
      <c r="L93" s="6" t="s">
        <v>43</v>
      </c>
      <c r="M93" s="8">
        <v>36000</v>
      </c>
      <c r="N93" s="6" t="s">
        <v>539</v>
      </c>
      <c r="O93" s="24">
        <v>1</v>
      </c>
      <c r="P93" s="8">
        <v>36000</v>
      </c>
      <c r="Q93" s="6" t="s">
        <v>539</v>
      </c>
      <c r="R93" s="6" t="s">
        <v>196</v>
      </c>
      <c r="S93" s="6" t="s">
        <v>540</v>
      </c>
      <c r="T93" s="10" t="s">
        <v>541</v>
      </c>
      <c r="U93" s="10" t="s">
        <v>542</v>
      </c>
      <c r="V93" s="6">
        <v>10</v>
      </c>
      <c r="W93" s="8">
        <v>36000</v>
      </c>
      <c r="X93" s="6" t="s">
        <v>58</v>
      </c>
      <c r="Y93" s="6" t="s">
        <v>543</v>
      </c>
    </row>
    <row r="94" spans="1:25" s="6" customFormat="1" ht="276">
      <c r="A94" s="6" t="s">
        <v>39</v>
      </c>
      <c r="B94" s="7" t="s">
        <v>364</v>
      </c>
      <c r="C94" s="7" t="s">
        <v>544</v>
      </c>
      <c r="D94" s="6" t="s">
        <v>545</v>
      </c>
      <c r="E94" s="6" t="s">
        <v>546</v>
      </c>
      <c r="F94" s="6" t="s">
        <v>40</v>
      </c>
      <c r="G94" s="6" t="s">
        <v>55</v>
      </c>
      <c r="H94" s="6" t="s">
        <v>547</v>
      </c>
      <c r="I94" s="7" t="s">
        <v>441</v>
      </c>
      <c r="J94" s="7" t="s">
        <v>548</v>
      </c>
      <c r="K94" s="6">
        <v>21</v>
      </c>
      <c r="L94" s="6" t="s">
        <v>43</v>
      </c>
      <c r="M94" s="8">
        <v>13625</v>
      </c>
      <c r="N94" s="6" t="s">
        <v>549</v>
      </c>
      <c r="O94" s="24">
        <v>1</v>
      </c>
      <c r="P94" s="8">
        <v>13625</v>
      </c>
      <c r="Q94" s="6" t="s">
        <v>549</v>
      </c>
      <c r="R94" s="6" t="s">
        <v>550</v>
      </c>
      <c r="S94" s="6" t="s">
        <v>551</v>
      </c>
      <c r="T94" s="10" t="s">
        <v>552</v>
      </c>
      <c r="U94" s="10" t="s">
        <v>553</v>
      </c>
      <c r="V94" s="6" t="s">
        <v>59</v>
      </c>
      <c r="W94" s="8">
        <v>16605467.48</v>
      </c>
      <c r="X94" s="6" t="s">
        <v>74</v>
      </c>
      <c r="Y94" s="6" t="s">
        <v>554</v>
      </c>
    </row>
    <row r="95" spans="1:25" s="44" customFormat="1" ht="331.2">
      <c r="A95" s="37" t="s">
        <v>39</v>
      </c>
      <c r="B95" s="38" t="s">
        <v>364</v>
      </c>
      <c r="C95" s="38" t="s">
        <v>842</v>
      </c>
      <c r="D95" s="37" t="s">
        <v>3317</v>
      </c>
      <c r="E95" s="37" t="s">
        <v>3318</v>
      </c>
      <c r="F95" s="37" t="s">
        <v>2880</v>
      </c>
      <c r="G95" s="37" t="s">
        <v>55</v>
      </c>
      <c r="H95" s="37" t="s">
        <v>3319</v>
      </c>
      <c r="I95" s="38" t="s">
        <v>441</v>
      </c>
      <c r="J95" s="38" t="s">
        <v>641</v>
      </c>
      <c r="K95" s="37">
        <v>17</v>
      </c>
      <c r="L95" s="37" t="s">
        <v>289</v>
      </c>
      <c r="M95" s="39">
        <v>106600</v>
      </c>
      <c r="N95" s="37" t="s">
        <v>3320</v>
      </c>
      <c r="O95" s="40">
        <v>1</v>
      </c>
      <c r="P95" s="39">
        <v>106600</v>
      </c>
      <c r="Q95" s="37" t="s">
        <v>3320</v>
      </c>
      <c r="R95" s="37" t="s">
        <v>3278</v>
      </c>
      <c r="S95" s="37" t="s">
        <v>3279</v>
      </c>
      <c r="T95" s="41" t="s">
        <v>3321</v>
      </c>
      <c r="U95" s="41" t="s">
        <v>3322</v>
      </c>
      <c r="V95" s="37" t="s">
        <v>3323</v>
      </c>
      <c r="W95" s="39">
        <v>32400000</v>
      </c>
      <c r="X95" s="37" t="s">
        <v>74</v>
      </c>
      <c r="Y95" s="37"/>
    </row>
    <row r="96" spans="1:25" s="42" customFormat="1" ht="409.6">
      <c r="A96" s="37" t="s">
        <v>39</v>
      </c>
      <c r="B96" s="38" t="s">
        <v>364</v>
      </c>
      <c r="C96" s="38" t="s">
        <v>1283</v>
      </c>
      <c r="D96" s="37" t="s">
        <v>3324</v>
      </c>
      <c r="E96" s="37" t="s">
        <v>3325</v>
      </c>
      <c r="F96" s="37" t="s">
        <v>1278</v>
      </c>
      <c r="G96" s="37" t="s">
        <v>55</v>
      </c>
      <c r="H96" s="37" t="s">
        <v>859</v>
      </c>
      <c r="I96" s="38" t="s">
        <v>441</v>
      </c>
      <c r="J96" s="38" t="s">
        <v>812</v>
      </c>
      <c r="K96" s="37">
        <v>18</v>
      </c>
      <c r="L96" s="37" t="s">
        <v>43</v>
      </c>
      <c r="M96" s="39">
        <v>47174.400000000001</v>
      </c>
      <c r="N96" s="37" t="s">
        <v>3327</v>
      </c>
      <c r="O96" s="40">
        <v>1</v>
      </c>
      <c r="P96" s="39">
        <v>70761.600000000006</v>
      </c>
      <c r="Q96" s="37" t="s">
        <v>3326</v>
      </c>
      <c r="R96" s="37" t="s">
        <v>1509</v>
      </c>
      <c r="S96" s="37" t="s">
        <v>3328</v>
      </c>
      <c r="T96" s="41" t="s">
        <v>3329</v>
      </c>
      <c r="U96" s="41" t="s">
        <v>3330</v>
      </c>
      <c r="V96" s="37" t="s">
        <v>59</v>
      </c>
      <c r="W96" s="39">
        <v>70761.600000000006</v>
      </c>
      <c r="X96" s="37" t="s">
        <v>1513</v>
      </c>
      <c r="Y96" s="37" t="s">
        <v>3331</v>
      </c>
    </row>
    <row r="97" spans="1:25" s="6" customFormat="1" ht="409.6">
      <c r="A97" s="6" t="s">
        <v>39</v>
      </c>
      <c r="B97" s="7" t="s">
        <v>364</v>
      </c>
      <c r="C97" s="7" t="s">
        <v>555</v>
      </c>
      <c r="D97" s="6" t="s">
        <v>556</v>
      </c>
      <c r="E97" s="6" t="s">
        <v>557</v>
      </c>
      <c r="F97" s="6" t="s">
        <v>40</v>
      </c>
      <c r="G97" s="6" t="s">
        <v>55</v>
      </c>
      <c r="H97" s="6" t="s">
        <v>558</v>
      </c>
      <c r="I97" s="7" t="s">
        <v>441</v>
      </c>
      <c r="J97" s="7" t="s">
        <v>298</v>
      </c>
      <c r="K97" s="6">
        <v>1</v>
      </c>
      <c r="L97" s="6" t="s">
        <v>43</v>
      </c>
      <c r="M97" s="8">
        <v>3000</v>
      </c>
      <c r="N97" s="6" t="s">
        <v>518</v>
      </c>
      <c r="O97" s="24">
        <v>1</v>
      </c>
      <c r="P97" s="8">
        <v>3000</v>
      </c>
      <c r="Q97" s="6" t="s">
        <v>518</v>
      </c>
      <c r="R97" s="6" t="s">
        <v>559</v>
      </c>
      <c r="S97" s="6" t="s">
        <v>560</v>
      </c>
      <c r="T97" s="10" t="s">
        <v>561</v>
      </c>
      <c r="U97" s="10" t="s">
        <v>562</v>
      </c>
      <c r="V97" s="6" t="s">
        <v>59</v>
      </c>
      <c r="W97" s="8">
        <v>3000</v>
      </c>
      <c r="X97" s="6" t="s">
        <v>74</v>
      </c>
      <c r="Y97" s="6" t="s">
        <v>563</v>
      </c>
    </row>
    <row r="98" spans="1:25" s="6" customFormat="1" ht="331.2">
      <c r="A98" s="6" t="s">
        <v>39</v>
      </c>
      <c r="B98" s="7" t="s">
        <v>364</v>
      </c>
      <c r="C98" s="7" t="s">
        <v>564</v>
      </c>
      <c r="D98" s="6" t="s">
        <v>565</v>
      </c>
      <c r="E98" s="6" t="s">
        <v>566</v>
      </c>
      <c r="F98" s="6" t="s">
        <v>40</v>
      </c>
      <c r="G98" s="6" t="s">
        <v>55</v>
      </c>
      <c r="H98" s="6" t="s">
        <v>567</v>
      </c>
      <c r="I98" s="7" t="s">
        <v>298</v>
      </c>
      <c r="J98" s="7" t="s">
        <v>298</v>
      </c>
      <c r="K98" s="6">
        <v>1</v>
      </c>
      <c r="L98" s="6" t="s">
        <v>289</v>
      </c>
      <c r="M98" s="8">
        <v>8260</v>
      </c>
      <c r="N98" s="6" t="s">
        <v>568</v>
      </c>
      <c r="O98" s="24">
        <v>1</v>
      </c>
      <c r="P98" s="8">
        <v>8260</v>
      </c>
      <c r="Q98" s="6" t="s">
        <v>568</v>
      </c>
      <c r="R98" s="6" t="s">
        <v>387</v>
      </c>
      <c r="S98" s="6" t="s">
        <v>570</v>
      </c>
      <c r="T98" s="10" t="s">
        <v>571</v>
      </c>
      <c r="U98" s="10" t="s">
        <v>572</v>
      </c>
      <c r="V98" s="6" t="s">
        <v>59</v>
      </c>
      <c r="W98" s="6" t="s">
        <v>569</v>
      </c>
      <c r="X98" s="6" t="s">
        <v>58</v>
      </c>
    </row>
    <row r="99" spans="1:25" s="44" customFormat="1" ht="409.6">
      <c r="A99" s="37" t="s">
        <v>39</v>
      </c>
      <c r="B99" s="38" t="s">
        <v>364</v>
      </c>
      <c r="C99" s="38" t="s">
        <v>1304</v>
      </c>
      <c r="D99" s="37" t="s">
        <v>3332</v>
      </c>
      <c r="E99" s="37" t="s">
        <v>3333</v>
      </c>
      <c r="F99" s="37" t="s">
        <v>2880</v>
      </c>
      <c r="G99" s="37" t="s">
        <v>55</v>
      </c>
      <c r="H99" s="37" t="s">
        <v>927</v>
      </c>
      <c r="I99" s="38" t="s">
        <v>498</v>
      </c>
      <c r="J99" s="38" t="s">
        <v>531</v>
      </c>
      <c r="K99" s="37">
        <v>10</v>
      </c>
      <c r="L99" s="37" t="s">
        <v>2906</v>
      </c>
      <c r="M99" s="39">
        <v>22522.75</v>
      </c>
      <c r="N99" s="37" t="s">
        <v>3334</v>
      </c>
      <c r="O99" s="40">
        <v>1</v>
      </c>
      <c r="P99" s="39">
        <v>22522.75</v>
      </c>
      <c r="Q99" s="37" t="s">
        <v>3334</v>
      </c>
      <c r="R99" s="37" t="s">
        <v>1509</v>
      </c>
      <c r="S99" s="37" t="s">
        <v>3335</v>
      </c>
      <c r="T99" s="41" t="s">
        <v>3336</v>
      </c>
      <c r="U99" s="41" t="s">
        <v>3308</v>
      </c>
      <c r="V99" s="37" t="s">
        <v>59</v>
      </c>
      <c r="W99" s="39">
        <v>295595.93</v>
      </c>
      <c r="X99" s="37" t="s">
        <v>74</v>
      </c>
      <c r="Y99" s="37"/>
    </row>
    <row r="100" spans="1:25" s="6" customFormat="1" ht="248.4">
      <c r="A100" s="6" t="s">
        <v>39</v>
      </c>
      <c r="B100" s="7" t="s">
        <v>364</v>
      </c>
      <c r="C100" s="7" t="s">
        <v>573</v>
      </c>
      <c r="D100" s="6" t="s">
        <v>574</v>
      </c>
      <c r="E100" s="6" t="s">
        <v>575</v>
      </c>
      <c r="F100" s="6" t="s">
        <v>40</v>
      </c>
      <c r="G100" s="6" t="s">
        <v>55</v>
      </c>
      <c r="H100" s="6" t="s">
        <v>576</v>
      </c>
      <c r="I100" s="7" t="s">
        <v>298</v>
      </c>
      <c r="J100" s="7" t="s">
        <v>498</v>
      </c>
      <c r="K100" s="6">
        <v>1</v>
      </c>
      <c r="L100" s="6" t="s">
        <v>289</v>
      </c>
      <c r="M100" s="8">
        <v>9625</v>
      </c>
      <c r="N100" s="6" t="s">
        <v>577</v>
      </c>
      <c r="O100" s="24">
        <v>1</v>
      </c>
      <c r="P100" s="8">
        <v>9625</v>
      </c>
      <c r="Q100" s="6" t="s">
        <v>577</v>
      </c>
      <c r="R100" s="6" t="s">
        <v>578</v>
      </c>
      <c r="S100" s="6" t="s">
        <v>579</v>
      </c>
      <c r="T100" s="10" t="s">
        <v>580</v>
      </c>
      <c r="U100" s="10" t="s">
        <v>581</v>
      </c>
      <c r="V100" s="6" t="s">
        <v>59</v>
      </c>
      <c r="W100" s="8">
        <v>68242371.030000001</v>
      </c>
      <c r="X100" s="6" t="s">
        <v>74</v>
      </c>
    </row>
    <row r="101" spans="1:25" s="42" customFormat="1" ht="409.6">
      <c r="A101" s="37" t="s">
        <v>39</v>
      </c>
      <c r="B101" s="38" t="s">
        <v>364</v>
      </c>
      <c r="C101" s="38" t="s">
        <v>1318</v>
      </c>
      <c r="D101" s="37" t="s">
        <v>3337</v>
      </c>
      <c r="E101" s="37" t="s">
        <v>3338</v>
      </c>
      <c r="F101" s="37" t="s">
        <v>1278</v>
      </c>
      <c r="G101" s="37" t="s">
        <v>55</v>
      </c>
      <c r="H101" s="37" t="s">
        <v>158</v>
      </c>
      <c r="I101" s="38" t="s">
        <v>614</v>
      </c>
      <c r="J101" s="38" t="s">
        <v>1157</v>
      </c>
      <c r="K101" s="37">
        <v>39</v>
      </c>
      <c r="L101" s="37" t="s">
        <v>43</v>
      </c>
      <c r="M101" s="39">
        <v>81995</v>
      </c>
      <c r="N101" s="37" t="s">
        <v>3339</v>
      </c>
      <c r="O101" s="40">
        <v>1</v>
      </c>
      <c r="P101" s="39">
        <v>277574.26</v>
      </c>
      <c r="Q101" s="37" t="s">
        <v>3340</v>
      </c>
      <c r="R101" s="37" t="s">
        <v>1509</v>
      </c>
      <c r="S101" s="37" t="s">
        <v>3341</v>
      </c>
      <c r="T101" s="41" t="s">
        <v>3342</v>
      </c>
      <c r="U101" s="41" t="s">
        <v>3343</v>
      </c>
      <c r="V101" s="37" t="s">
        <v>59</v>
      </c>
      <c r="W101" s="39">
        <v>277574.26</v>
      </c>
      <c r="X101" s="37" t="s">
        <v>3316</v>
      </c>
      <c r="Y101" s="37" t="s">
        <v>3344</v>
      </c>
    </row>
    <row r="102" spans="1:25" s="6" customFormat="1" ht="248.4">
      <c r="A102" s="6" t="s">
        <v>39</v>
      </c>
      <c r="B102" s="7" t="s">
        <v>364</v>
      </c>
      <c r="C102" s="7" t="s">
        <v>582</v>
      </c>
      <c r="D102" s="6" t="s">
        <v>583</v>
      </c>
      <c r="E102" s="6" t="s">
        <v>584</v>
      </c>
      <c r="F102" s="6" t="s">
        <v>40</v>
      </c>
      <c r="G102" s="6" t="s">
        <v>55</v>
      </c>
      <c r="H102" s="6" t="s">
        <v>585</v>
      </c>
      <c r="I102" s="7" t="s">
        <v>298</v>
      </c>
      <c r="J102" s="7" t="s">
        <v>587</v>
      </c>
      <c r="K102" s="6">
        <v>5</v>
      </c>
      <c r="L102" s="6" t="s">
        <v>289</v>
      </c>
      <c r="M102" s="8">
        <v>2000</v>
      </c>
      <c r="N102" s="6" t="s">
        <v>588</v>
      </c>
      <c r="O102" s="24">
        <v>1</v>
      </c>
      <c r="P102" s="8">
        <v>2000</v>
      </c>
      <c r="Q102" s="6" t="s">
        <v>588</v>
      </c>
      <c r="R102" s="6" t="s">
        <v>302</v>
      </c>
      <c r="S102" s="6" t="s">
        <v>589</v>
      </c>
      <c r="T102" s="10" t="s">
        <v>590</v>
      </c>
      <c r="U102" s="10" t="s">
        <v>591</v>
      </c>
      <c r="V102" s="6" t="s">
        <v>59</v>
      </c>
      <c r="W102" s="8">
        <v>2000</v>
      </c>
      <c r="X102" s="6" t="s">
        <v>74</v>
      </c>
    </row>
    <row r="103" spans="1:25" s="6" customFormat="1" ht="179.4">
      <c r="A103" s="6" t="s">
        <v>39</v>
      </c>
      <c r="B103" s="7" t="s">
        <v>364</v>
      </c>
      <c r="C103" s="7" t="s">
        <v>592</v>
      </c>
      <c r="D103" s="6" t="s">
        <v>593</v>
      </c>
      <c r="E103" s="6" t="s">
        <v>594</v>
      </c>
      <c r="F103" s="6" t="s">
        <v>40</v>
      </c>
      <c r="G103" s="6" t="s">
        <v>55</v>
      </c>
      <c r="H103" s="6" t="s">
        <v>325</v>
      </c>
      <c r="I103" s="7" t="s">
        <v>441</v>
      </c>
      <c r="J103" s="7" t="s">
        <v>441</v>
      </c>
      <c r="K103" s="6">
        <v>1</v>
      </c>
      <c r="L103" s="6" t="s">
        <v>289</v>
      </c>
      <c r="M103" s="6" t="s">
        <v>461</v>
      </c>
      <c r="N103" s="6" t="s">
        <v>461</v>
      </c>
      <c r="O103" s="24">
        <v>1</v>
      </c>
      <c r="P103" s="6" t="s">
        <v>461</v>
      </c>
      <c r="Q103" s="6" t="s">
        <v>461</v>
      </c>
      <c r="R103" s="6" t="s">
        <v>461</v>
      </c>
      <c r="S103" s="6" t="s">
        <v>461</v>
      </c>
      <c r="T103" s="10" t="s">
        <v>595</v>
      </c>
      <c r="U103" s="10" t="s">
        <v>596</v>
      </c>
      <c r="V103" s="6" t="s">
        <v>59</v>
      </c>
      <c r="W103" s="8">
        <v>1140000</v>
      </c>
      <c r="X103" s="6" t="s">
        <v>74</v>
      </c>
    </row>
    <row r="104" spans="1:25" s="6" customFormat="1" ht="262.2">
      <c r="A104" s="6" t="s">
        <v>39</v>
      </c>
      <c r="B104" s="7" t="s">
        <v>364</v>
      </c>
      <c r="C104" s="7" t="s">
        <v>597</v>
      </c>
      <c r="D104" s="6" t="s">
        <v>598</v>
      </c>
      <c r="E104" s="6" t="s">
        <v>599</v>
      </c>
      <c r="F104" s="6" t="s">
        <v>40</v>
      </c>
      <c r="G104" s="6" t="s">
        <v>55</v>
      </c>
      <c r="H104" s="6" t="s">
        <v>600</v>
      </c>
      <c r="I104" s="7" t="s">
        <v>298</v>
      </c>
      <c r="J104" s="7" t="s">
        <v>498</v>
      </c>
      <c r="K104" s="6">
        <v>1</v>
      </c>
      <c r="L104" s="6" t="s">
        <v>289</v>
      </c>
      <c r="M104" s="8">
        <v>8500</v>
      </c>
      <c r="N104" s="6" t="s">
        <v>601</v>
      </c>
      <c r="O104" s="24">
        <v>1</v>
      </c>
      <c r="P104" s="8">
        <v>8500</v>
      </c>
      <c r="Q104" s="6" t="s">
        <v>601</v>
      </c>
      <c r="R104" s="6" t="s">
        <v>387</v>
      </c>
      <c r="S104" s="6" t="s">
        <v>327</v>
      </c>
      <c r="T104" s="10" t="s">
        <v>602</v>
      </c>
      <c r="U104" s="10" t="s">
        <v>603</v>
      </c>
      <c r="V104" s="6" t="s">
        <v>59</v>
      </c>
      <c r="W104" s="8">
        <v>6058343</v>
      </c>
      <c r="X104" s="6" t="s">
        <v>74</v>
      </c>
    </row>
    <row r="105" spans="1:25" s="6" customFormat="1" ht="234.6">
      <c r="A105" s="6" t="s">
        <v>39</v>
      </c>
      <c r="B105" s="7" t="s">
        <v>364</v>
      </c>
      <c r="C105" s="7" t="s">
        <v>604</v>
      </c>
      <c r="D105" s="6" t="s">
        <v>605</v>
      </c>
      <c r="E105" s="6" t="s">
        <v>606</v>
      </c>
      <c r="F105" s="6" t="s">
        <v>40</v>
      </c>
      <c r="G105" s="6" t="s">
        <v>55</v>
      </c>
      <c r="H105" s="6" t="s">
        <v>158</v>
      </c>
      <c r="I105" s="7" t="s">
        <v>298</v>
      </c>
      <c r="J105" s="7" t="s">
        <v>498</v>
      </c>
      <c r="K105" s="6">
        <v>1</v>
      </c>
      <c r="L105" s="6" t="s">
        <v>289</v>
      </c>
      <c r="M105" s="6" t="s">
        <v>461</v>
      </c>
      <c r="N105" s="6" t="s">
        <v>461</v>
      </c>
      <c r="O105" s="24">
        <v>1</v>
      </c>
      <c r="P105" s="6" t="s">
        <v>461</v>
      </c>
      <c r="Q105" s="6" t="s">
        <v>461</v>
      </c>
      <c r="R105" s="6" t="s">
        <v>607</v>
      </c>
      <c r="S105" s="6" t="s">
        <v>608</v>
      </c>
      <c r="T105" s="10" t="s">
        <v>619</v>
      </c>
      <c r="U105" s="10" t="s">
        <v>609</v>
      </c>
      <c r="V105" s="6" t="s">
        <v>59</v>
      </c>
      <c r="W105" s="8">
        <v>5436721.3600000003</v>
      </c>
      <c r="X105" s="6" t="s">
        <v>74</v>
      </c>
    </row>
    <row r="106" spans="1:25" s="6" customFormat="1" ht="165.6">
      <c r="A106" s="6" t="s">
        <v>39</v>
      </c>
      <c r="B106" s="7" t="s">
        <v>364</v>
      </c>
      <c r="C106" s="7" t="s">
        <v>610</v>
      </c>
      <c r="D106" s="6" t="s">
        <v>611</v>
      </c>
      <c r="E106" s="6" t="s">
        <v>612</v>
      </c>
      <c r="F106" s="6" t="s">
        <v>40</v>
      </c>
      <c r="G106" s="6" t="s">
        <v>55</v>
      </c>
      <c r="H106" s="6" t="s">
        <v>613</v>
      </c>
      <c r="I106" s="7" t="s">
        <v>614</v>
      </c>
      <c r="J106" s="7" t="s">
        <v>615</v>
      </c>
      <c r="K106" s="6">
        <v>22</v>
      </c>
      <c r="L106" s="6" t="s">
        <v>289</v>
      </c>
      <c r="M106" s="8">
        <v>232038.04</v>
      </c>
      <c r="N106" s="6" t="s">
        <v>616</v>
      </c>
      <c r="O106" s="24">
        <v>1</v>
      </c>
      <c r="P106" s="8">
        <v>232038.04</v>
      </c>
      <c r="Q106" s="6" t="s">
        <v>616</v>
      </c>
      <c r="R106" s="6" t="s">
        <v>617</v>
      </c>
      <c r="S106" s="6" t="s">
        <v>618</v>
      </c>
      <c r="T106" s="10" t="s">
        <v>620</v>
      </c>
      <c r="U106" s="10" t="s">
        <v>621</v>
      </c>
      <c r="V106" s="6" t="s">
        <v>622</v>
      </c>
      <c r="W106" s="25">
        <v>232038.34</v>
      </c>
      <c r="X106" s="6" t="s">
        <v>58</v>
      </c>
    </row>
    <row r="107" spans="1:25" s="6" customFormat="1" ht="276">
      <c r="A107" s="6" t="s">
        <v>39</v>
      </c>
      <c r="B107" s="7" t="s">
        <v>364</v>
      </c>
      <c r="C107" s="7" t="s">
        <v>623</v>
      </c>
      <c r="D107" s="6" t="s">
        <v>624</v>
      </c>
      <c r="E107" s="6" t="s">
        <v>625</v>
      </c>
      <c r="F107" s="6" t="s">
        <v>40</v>
      </c>
      <c r="G107" s="6" t="s">
        <v>55</v>
      </c>
      <c r="H107" s="6" t="s">
        <v>128</v>
      </c>
      <c r="I107" s="7" t="s">
        <v>614</v>
      </c>
      <c r="J107" s="7" t="s">
        <v>626</v>
      </c>
      <c r="K107" s="6">
        <v>30</v>
      </c>
      <c r="L107" s="6" t="s">
        <v>43</v>
      </c>
      <c r="M107" s="8">
        <v>74984</v>
      </c>
      <c r="N107" s="6" t="s">
        <v>627</v>
      </c>
      <c r="O107" s="24">
        <v>1</v>
      </c>
      <c r="P107" s="8">
        <v>74984</v>
      </c>
      <c r="Q107" s="6" t="s">
        <v>627</v>
      </c>
      <c r="R107" s="6" t="s">
        <v>628</v>
      </c>
      <c r="S107" s="6" t="s">
        <v>629</v>
      </c>
      <c r="T107" s="10" t="s">
        <v>630</v>
      </c>
      <c r="U107" s="10" t="s">
        <v>631</v>
      </c>
      <c r="V107" s="6" t="s">
        <v>59</v>
      </c>
      <c r="W107" s="8">
        <v>74984</v>
      </c>
      <c r="X107" s="6" t="s">
        <v>74</v>
      </c>
    </row>
    <row r="108" spans="1:25" s="6" customFormat="1" ht="207">
      <c r="A108" s="6" t="s">
        <v>39</v>
      </c>
      <c r="B108" s="7" t="s">
        <v>364</v>
      </c>
      <c r="C108" s="7" t="s">
        <v>632</v>
      </c>
      <c r="D108" s="6" t="s">
        <v>633</v>
      </c>
      <c r="E108" s="6" t="s">
        <v>634</v>
      </c>
      <c r="F108" s="6" t="s">
        <v>40</v>
      </c>
      <c r="G108" s="6" t="s">
        <v>55</v>
      </c>
      <c r="H108" s="6" t="s">
        <v>224</v>
      </c>
      <c r="I108" s="7" t="s">
        <v>498</v>
      </c>
      <c r="J108" s="7" t="s">
        <v>614</v>
      </c>
      <c r="K108" s="6">
        <v>1</v>
      </c>
      <c r="L108" s="6" t="s">
        <v>43</v>
      </c>
      <c r="M108" s="8">
        <v>13870</v>
      </c>
      <c r="N108" s="6" t="s">
        <v>635</v>
      </c>
      <c r="O108" s="24">
        <v>1</v>
      </c>
      <c r="P108" s="8">
        <v>13870</v>
      </c>
      <c r="Q108" s="6" t="s">
        <v>635</v>
      </c>
      <c r="R108" s="6" t="s">
        <v>0</v>
      </c>
      <c r="S108" s="6" t="s">
        <v>636</v>
      </c>
      <c r="T108" s="10" t="s">
        <v>637</v>
      </c>
      <c r="U108" s="10" t="s">
        <v>638</v>
      </c>
      <c r="V108" s="6">
        <v>20</v>
      </c>
      <c r="W108" s="8">
        <v>13870</v>
      </c>
      <c r="X108" s="6" t="s">
        <v>58</v>
      </c>
    </row>
    <row r="109" spans="1:25" s="42" customFormat="1" ht="289.8">
      <c r="A109" s="37" t="s">
        <v>39</v>
      </c>
      <c r="B109" s="38" t="s">
        <v>364</v>
      </c>
      <c r="C109" s="38" t="s">
        <v>1960</v>
      </c>
      <c r="D109" s="37" t="s">
        <v>3345</v>
      </c>
      <c r="E109" s="37" t="s">
        <v>3346</v>
      </c>
      <c r="F109" s="37" t="s">
        <v>1278</v>
      </c>
      <c r="G109" s="37" t="s">
        <v>55</v>
      </c>
      <c r="H109" s="37" t="s">
        <v>1685</v>
      </c>
      <c r="I109" s="38" t="s">
        <v>587</v>
      </c>
      <c r="J109" s="38" t="s">
        <v>860</v>
      </c>
      <c r="K109" s="37">
        <v>26</v>
      </c>
      <c r="L109" s="37" t="s">
        <v>43</v>
      </c>
      <c r="M109" s="39">
        <v>153647.5</v>
      </c>
      <c r="N109" s="37" t="s">
        <v>3347</v>
      </c>
      <c r="O109" s="40">
        <v>1</v>
      </c>
      <c r="P109" s="39">
        <v>307295</v>
      </c>
      <c r="Q109" s="37" t="s">
        <v>3348</v>
      </c>
      <c r="R109" s="37" t="s">
        <v>1509</v>
      </c>
      <c r="S109" s="37" t="s">
        <v>3349</v>
      </c>
      <c r="T109" s="41" t="s">
        <v>3350</v>
      </c>
      <c r="U109" s="41" t="s">
        <v>3351</v>
      </c>
      <c r="V109" s="37" t="s">
        <v>59</v>
      </c>
      <c r="W109" s="39">
        <v>307295</v>
      </c>
      <c r="X109" s="37" t="s">
        <v>3352</v>
      </c>
      <c r="Y109" s="37" t="s">
        <v>3353</v>
      </c>
    </row>
    <row r="110" spans="1:25" s="6" customFormat="1" ht="262.2">
      <c r="A110" s="6" t="s">
        <v>39</v>
      </c>
      <c r="B110" s="7" t="s">
        <v>430</v>
      </c>
      <c r="C110" s="7" t="s">
        <v>80</v>
      </c>
      <c r="D110" s="6" t="s">
        <v>639</v>
      </c>
      <c r="E110" s="6" t="s">
        <v>640</v>
      </c>
      <c r="F110" s="6" t="s">
        <v>40</v>
      </c>
      <c r="G110" s="6" t="s">
        <v>55</v>
      </c>
      <c r="H110" s="6" t="s">
        <v>49</v>
      </c>
      <c r="I110" s="7" t="s">
        <v>587</v>
      </c>
      <c r="J110" s="7" t="s">
        <v>641</v>
      </c>
      <c r="K110" s="6">
        <v>12</v>
      </c>
      <c r="L110" s="6" t="s">
        <v>43</v>
      </c>
      <c r="M110" s="8">
        <v>60000</v>
      </c>
      <c r="N110" s="6" t="s">
        <v>642</v>
      </c>
      <c r="O110" s="24">
        <v>1</v>
      </c>
      <c r="P110" s="8">
        <v>60000</v>
      </c>
      <c r="Q110" s="6" t="s">
        <v>642</v>
      </c>
      <c r="R110" s="6" t="s">
        <v>0</v>
      </c>
      <c r="S110" s="6" t="s">
        <v>643</v>
      </c>
      <c r="T110" s="10" t="s">
        <v>644</v>
      </c>
      <c r="U110" s="10" t="s">
        <v>645</v>
      </c>
      <c r="V110" s="6">
        <v>1.22</v>
      </c>
      <c r="W110" s="8">
        <v>60000</v>
      </c>
      <c r="X110" s="6" t="s">
        <v>642</v>
      </c>
      <c r="Y110" s="6" t="s">
        <v>646</v>
      </c>
    </row>
    <row r="111" spans="1:25" s="6" customFormat="1" ht="234.6">
      <c r="A111" s="6" t="s">
        <v>39</v>
      </c>
      <c r="B111" s="7" t="s">
        <v>430</v>
      </c>
      <c r="C111" s="7" t="s">
        <v>93</v>
      </c>
      <c r="D111" s="6" t="s">
        <v>648</v>
      </c>
      <c r="E111" s="6" t="s">
        <v>649</v>
      </c>
      <c r="F111" s="6" t="s">
        <v>40</v>
      </c>
      <c r="G111" s="6" t="s">
        <v>55</v>
      </c>
      <c r="H111" s="6" t="s">
        <v>650</v>
      </c>
      <c r="I111" s="7" t="s">
        <v>651</v>
      </c>
      <c r="J111" s="7" t="s">
        <v>587</v>
      </c>
      <c r="K111" s="6">
        <v>2</v>
      </c>
      <c r="L111" s="6" t="s">
        <v>289</v>
      </c>
      <c r="M111" s="8">
        <v>5250</v>
      </c>
      <c r="N111" s="6" t="s">
        <v>652</v>
      </c>
      <c r="O111" s="24">
        <v>1</v>
      </c>
      <c r="P111" s="8">
        <v>5250</v>
      </c>
      <c r="Q111" s="6" t="s">
        <v>652</v>
      </c>
      <c r="R111" s="6" t="s">
        <v>387</v>
      </c>
      <c r="S111" s="6" t="s">
        <v>327</v>
      </c>
      <c r="T111" s="10" t="s">
        <v>653</v>
      </c>
      <c r="U111" s="10" t="s">
        <v>654</v>
      </c>
      <c r="V111" s="6" t="s">
        <v>59</v>
      </c>
      <c r="W111" s="8">
        <v>15837553.5</v>
      </c>
      <c r="X111" s="6" t="s">
        <v>58</v>
      </c>
    </row>
    <row r="112" spans="1:25" s="44" customFormat="1" ht="386.4">
      <c r="A112" s="37" t="s">
        <v>39</v>
      </c>
      <c r="B112" s="38" t="s">
        <v>430</v>
      </c>
      <c r="C112" s="38" t="s">
        <v>104</v>
      </c>
      <c r="D112" s="37" t="s">
        <v>3354</v>
      </c>
      <c r="E112" s="37" t="s">
        <v>3355</v>
      </c>
      <c r="F112" s="37" t="s">
        <v>2880</v>
      </c>
      <c r="G112" s="37" t="s">
        <v>55</v>
      </c>
      <c r="H112" s="37" t="s">
        <v>1600</v>
      </c>
      <c r="I112" s="38" t="s">
        <v>651</v>
      </c>
      <c r="J112" s="38" t="s">
        <v>823</v>
      </c>
      <c r="K112" s="37">
        <v>12</v>
      </c>
      <c r="L112" s="37" t="s">
        <v>2906</v>
      </c>
      <c r="M112" s="39">
        <v>13506.92</v>
      </c>
      <c r="N112" s="37" t="s">
        <v>3356</v>
      </c>
      <c r="O112" s="40">
        <v>1</v>
      </c>
      <c r="P112" s="39">
        <v>13506.92</v>
      </c>
      <c r="Q112" s="37" t="s">
        <v>3356</v>
      </c>
      <c r="R112" s="37" t="s">
        <v>1509</v>
      </c>
      <c r="S112" s="37" t="s">
        <v>3357</v>
      </c>
      <c r="T112" s="41" t="s">
        <v>3358</v>
      </c>
      <c r="U112" s="41" t="s">
        <v>3359</v>
      </c>
      <c r="V112" s="37" t="s">
        <v>59</v>
      </c>
      <c r="W112" s="39">
        <v>1162066.75</v>
      </c>
      <c r="X112" s="37" t="s">
        <v>58</v>
      </c>
      <c r="Y112" s="37"/>
    </row>
    <row r="113" spans="1:25" s="6" customFormat="1" ht="234.6">
      <c r="A113" s="6" t="s">
        <v>39</v>
      </c>
      <c r="B113" s="7" t="s">
        <v>430</v>
      </c>
      <c r="C113" s="7" t="s">
        <v>113</v>
      </c>
      <c r="D113" s="6" t="s">
        <v>655</v>
      </c>
      <c r="E113" s="6" t="s">
        <v>656</v>
      </c>
      <c r="F113" s="6" t="s">
        <v>40</v>
      </c>
      <c r="G113" s="6" t="s">
        <v>55</v>
      </c>
      <c r="H113" s="6" t="s">
        <v>657</v>
      </c>
      <c r="I113" s="7" t="s">
        <v>651</v>
      </c>
      <c r="J113" s="7" t="s">
        <v>651</v>
      </c>
      <c r="K113" s="6">
        <v>1</v>
      </c>
      <c r="L113" s="6" t="s">
        <v>289</v>
      </c>
      <c r="M113" s="8">
        <v>6500</v>
      </c>
      <c r="N113" s="6" t="s">
        <v>658</v>
      </c>
      <c r="O113" s="24">
        <v>1</v>
      </c>
      <c r="P113" s="8">
        <v>6500</v>
      </c>
      <c r="Q113" s="6" t="s">
        <v>658</v>
      </c>
      <c r="R113" s="6" t="s">
        <v>659</v>
      </c>
      <c r="S113" s="6" t="s">
        <v>660</v>
      </c>
      <c r="T113" s="10" t="s">
        <v>661</v>
      </c>
      <c r="U113" s="10" t="s">
        <v>662</v>
      </c>
      <c r="V113" s="6" t="s">
        <v>59</v>
      </c>
      <c r="W113" s="8">
        <v>11989990</v>
      </c>
      <c r="X113" s="6" t="s">
        <v>58</v>
      </c>
    </row>
    <row r="114" spans="1:25" s="6" customFormat="1" ht="409.6">
      <c r="A114" s="6" t="s">
        <v>39</v>
      </c>
      <c r="B114" s="7" t="s">
        <v>430</v>
      </c>
      <c r="C114" s="7" t="s">
        <v>167</v>
      </c>
      <c r="D114" s="6" t="s">
        <v>663</v>
      </c>
      <c r="E114" s="6" t="s">
        <v>664</v>
      </c>
      <c r="F114" s="6" t="s">
        <v>40</v>
      </c>
      <c r="G114" s="6" t="s">
        <v>55</v>
      </c>
      <c r="H114" s="6" t="s">
        <v>665</v>
      </c>
      <c r="I114" s="7" t="s">
        <v>587</v>
      </c>
      <c r="J114" s="7" t="s">
        <v>587</v>
      </c>
      <c r="K114" s="6">
        <v>1</v>
      </c>
      <c r="L114" s="6" t="s">
        <v>289</v>
      </c>
      <c r="M114" s="8">
        <v>16000</v>
      </c>
      <c r="N114" s="6" t="s">
        <v>666</v>
      </c>
      <c r="O114" s="24">
        <v>1</v>
      </c>
      <c r="P114" s="8">
        <v>16000</v>
      </c>
      <c r="Q114" s="6" t="s">
        <v>666</v>
      </c>
      <c r="R114" s="6" t="s">
        <v>667</v>
      </c>
      <c r="S114" s="6" t="s">
        <v>668</v>
      </c>
      <c r="T114" s="10" t="s">
        <v>669</v>
      </c>
      <c r="U114" s="10" t="s">
        <v>670</v>
      </c>
      <c r="V114" s="6" t="s">
        <v>59</v>
      </c>
      <c r="W114" s="8">
        <v>12868511.65</v>
      </c>
      <c r="X114" s="6" t="s">
        <v>58</v>
      </c>
    </row>
    <row r="115" spans="1:25" s="6" customFormat="1" ht="193.2">
      <c r="A115" s="6" t="s">
        <v>39</v>
      </c>
      <c r="B115" s="7" t="s">
        <v>430</v>
      </c>
      <c r="C115" s="7" t="s">
        <v>176</v>
      </c>
      <c r="D115" s="6" t="s">
        <v>671</v>
      </c>
      <c r="E115" s="6" t="s">
        <v>672</v>
      </c>
      <c r="F115" s="6" t="s">
        <v>40</v>
      </c>
      <c r="G115" s="6" t="s">
        <v>55</v>
      </c>
      <c r="H115" s="6" t="s">
        <v>49</v>
      </c>
      <c r="I115" s="7" t="s">
        <v>587</v>
      </c>
      <c r="J115" s="7" t="s">
        <v>586</v>
      </c>
      <c r="K115" s="6">
        <v>2</v>
      </c>
      <c r="L115" s="6" t="s">
        <v>289</v>
      </c>
      <c r="M115" s="8">
        <v>15095</v>
      </c>
      <c r="N115" s="6" t="s">
        <v>676</v>
      </c>
      <c r="O115" s="24">
        <v>1</v>
      </c>
      <c r="P115" s="8">
        <v>15095</v>
      </c>
      <c r="Q115" s="6" t="s">
        <v>676</v>
      </c>
      <c r="R115" s="6" t="s">
        <v>673</v>
      </c>
      <c r="S115" s="6" t="s">
        <v>674</v>
      </c>
      <c r="T115" s="10" t="s">
        <v>675</v>
      </c>
      <c r="U115" s="10" t="s">
        <v>677</v>
      </c>
      <c r="V115" s="6" t="s">
        <v>59</v>
      </c>
      <c r="W115" s="8">
        <v>19157084.68</v>
      </c>
      <c r="X115" s="6" t="s">
        <v>58</v>
      </c>
    </row>
    <row r="116" spans="1:25" s="6" customFormat="1" ht="248.4">
      <c r="A116" s="6" t="s">
        <v>39</v>
      </c>
      <c r="B116" s="7" t="s">
        <v>430</v>
      </c>
      <c r="C116" s="7" t="s">
        <v>183</v>
      </c>
      <c r="D116" s="6" t="s">
        <v>678</v>
      </c>
      <c r="E116" s="6" t="s">
        <v>679</v>
      </c>
      <c r="F116" s="6" t="s">
        <v>40</v>
      </c>
      <c r="G116" s="6" t="s">
        <v>55</v>
      </c>
      <c r="H116" s="6" t="s">
        <v>137</v>
      </c>
      <c r="I116" s="7" t="s">
        <v>587</v>
      </c>
      <c r="J116" s="7" t="s">
        <v>587</v>
      </c>
      <c r="K116" s="6">
        <v>1</v>
      </c>
      <c r="L116" s="6" t="s">
        <v>43</v>
      </c>
      <c r="M116" s="8">
        <v>4900</v>
      </c>
      <c r="N116" s="6" t="s">
        <v>680</v>
      </c>
      <c r="O116" s="24">
        <v>1</v>
      </c>
      <c r="P116" s="8">
        <v>4900</v>
      </c>
      <c r="Q116" s="6" t="s">
        <v>680</v>
      </c>
      <c r="R116" s="6" t="s">
        <v>257</v>
      </c>
      <c r="S116" s="6" t="s">
        <v>681</v>
      </c>
      <c r="T116" s="10" t="s">
        <v>682</v>
      </c>
      <c r="U116" s="10" t="s">
        <v>683</v>
      </c>
      <c r="V116" s="6" t="s">
        <v>59</v>
      </c>
      <c r="W116" s="8">
        <v>4900</v>
      </c>
      <c r="X116" s="6" t="s">
        <v>74</v>
      </c>
      <c r="Y116" s="6" t="s">
        <v>684</v>
      </c>
    </row>
    <row r="117" spans="1:25" s="6" customFormat="1" ht="409.6">
      <c r="A117" s="6" t="s">
        <v>39</v>
      </c>
      <c r="B117" s="7" t="s">
        <v>430</v>
      </c>
      <c r="C117" s="7" t="s">
        <v>114</v>
      </c>
      <c r="D117" s="6" t="s">
        <v>685</v>
      </c>
      <c r="E117" s="6" t="s">
        <v>686</v>
      </c>
      <c r="F117" s="6" t="s">
        <v>40</v>
      </c>
      <c r="G117" s="6" t="s">
        <v>55</v>
      </c>
      <c r="H117" s="6" t="s">
        <v>49</v>
      </c>
      <c r="I117" s="7" t="s">
        <v>586</v>
      </c>
      <c r="J117" s="7" t="s">
        <v>489</v>
      </c>
      <c r="K117" s="6">
        <v>2</v>
      </c>
      <c r="L117" s="6" t="s">
        <v>289</v>
      </c>
      <c r="M117" s="8">
        <v>20000</v>
      </c>
      <c r="N117" s="6" t="s">
        <v>687</v>
      </c>
      <c r="O117" s="24">
        <v>1</v>
      </c>
      <c r="P117" s="8">
        <v>20000</v>
      </c>
      <c r="Q117" s="6" t="s">
        <v>687</v>
      </c>
      <c r="R117" s="6" t="s">
        <v>688</v>
      </c>
      <c r="S117" s="6" t="s">
        <v>689</v>
      </c>
      <c r="T117" s="10" t="s">
        <v>690</v>
      </c>
      <c r="U117" s="10" t="s">
        <v>691</v>
      </c>
      <c r="V117" s="6" t="s">
        <v>59</v>
      </c>
      <c r="W117" s="8">
        <v>34864116.210000001</v>
      </c>
      <c r="X117" s="6" t="s">
        <v>58</v>
      </c>
    </row>
    <row r="118" spans="1:25" s="6" customFormat="1" ht="345">
      <c r="A118" s="6" t="s">
        <v>39</v>
      </c>
      <c r="B118" s="7" t="s">
        <v>430</v>
      </c>
      <c r="C118" s="7" t="s">
        <v>125</v>
      </c>
      <c r="D118" s="6" t="s">
        <v>692</v>
      </c>
      <c r="E118" s="6" t="s">
        <v>693</v>
      </c>
      <c r="F118" s="6" t="s">
        <v>40</v>
      </c>
      <c r="G118" s="6" t="s">
        <v>55</v>
      </c>
      <c r="H118" s="6" t="s">
        <v>49</v>
      </c>
      <c r="I118" s="7" t="s">
        <v>587</v>
      </c>
      <c r="J118" s="7" t="s">
        <v>586</v>
      </c>
      <c r="K118" s="6">
        <v>1</v>
      </c>
      <c r="L118" s="6" t="s">
        <v>289</v>
      </c>
      <c r="M118" s="8">
        <v>9980</v>
      </c>
      <c r="N118" s="6" t="s">
        <v>694</v>
      </c>
      <c r="O118" s="24">
        <v>1</v>
      </c>
      <c r="P118" s="8">
        <v>9980</v>
      </c>
      <c r="Q118" s="6" t="s">
        <v>694</v>
      </c>
      <c r="R118" s="6" t="s">
        <v>695</v>
      </c>
      <c r="S118" s="6" t="s">
        <v>696</v>
      </c>
      <c r="T118" s="10" t="s">
        <v>697</v>
      </c>
      <c r="U118" s="10" t="s">
        <v>698</v>
      </c>
      <c r="V118" s="6" t="s">
        <v>59</v>
      </c>
      <c r="W118" s="8">
        <v>27399080.960000001</v>
      </c>
      <c r="X118" s="6" t="s">
        <v>58</v>
      </c>
    </row>
    <row r="119" spans="1:25" s="20" customFormat="1" ht="193.2">
      <c r="A119" s="6" t="s">
        <v>39</v>
      </c>
      <c r="B119" s="19" t="s">
        <v>430</v>
      </c>
      <c r="C119" s="19" t="s">
        <v>134</v>
      </c>
      <c r="D119" s="6" t="s">
        <v>699</v>
      </c>
      <c r="E119" s="6" t="s">
        <v>700</v>
      </c>
      <c r="F119" s="20" t="s">
        <v>40</v>
      </c>
      <c r="G119" s="20" t="s">
        <v>55</v>
      </c>
      <c r="H119" s="20" t="s">
        <v>701</v>
      </c>
      <c r="I119" s="19" t="s">
        <v>586</v>
      </c>
      <c r="J119" s="19" t="s">
        <v>586</v>
      </c>
      <c r="K119" s="20">
        <v>1</v>
      </c>
      <c r="L119" s="20" t="s">
        <v>289</v>
      </c>
      <c r="M119" s="21">
        <v>9735</v>
      </c>
      <c r="N119" s="20" t="s">
        <v>702</v>
      </c>
      <c r="O119" s="22">
        <v>1</v>
      </c>
      <c r="P119" s="21">
        <v>9735</v>
      </c>
      <c r="Q119" s="20" t="s">
        <v>702</v>
      </c>
      <c r="R119" s="6" t="s">
        <v>291</v>
      </c>
      <c r="S119" s="6" t="s">
        <v>327</v>
      </c>
      <c r="T119" s="10" t="s">
        <v>703</v>
      </c>
      <c r="U119" s="10" t="s">
        <v>704</v>
      </c>
      <c r="V119" s="20" t="s">
        <v>59</v>
      </c>
      <c r="W119" s="21">
        <v>11513591.98</v>
      </c>
      <c r="X119" s="20" t="s">
        <v>58</v>
      </c>
    </row>
    <row r="120" spans="1:25" s="6" customFormat="1" ht="165.6">
      <c r="A120" s="6" t="s">
        <v>39</v>
      </c>
      <c r="B120" s="7" t="s">
        <v>430</v>
      </c>
      <c r="C120" s="7" t="s">
        <v>191</v>
      </c>
      <c r="D120" s="6" t="s">
        <v>705</v>
      </c>
      <c r="E120" s="6" t="s">
        <v>706</v>
      </c>
      <c r="F120" s="6" t="s">
        <v>40</v>
      </c>
      <c r="G120" s="6" t="s">
        <v>55</v>
      </c>
      <c r="H120" s="6" t="s">
        <v>707</v>
      </c>
      <c r="I120" s="7" t="s">
        <v>708</v>
      </c>
      <c r="J120" s="7" t="s">
        <v>708</v>
      </c>
      <c r="K120" s="6">
        <v>1</v>
      </c>
      <c r="L120" s="6" t="s">
        <v>43</v>
      </c>
      <c r="M120" s="8">
        <v>3990</v>
      </c>
      <c r="N120" s="6" t="s">
        <v>709</v>
      </c>
      <c r="O120" s="24">
        <v>1</v>
      </c>
      <c r="P120" s="8">
        <v>3990</v>
      </c>
      <c r="Q120" s="6" t="s">
        <v>709</v>
      </c>
      <c r="R120" s="6" t="s">
        <v>257</v>
      </c>
      <c r="S120" s="6" t="s">
        <v>710</v>
      </c>
      <c r="T120" s="16" t="s">
        <v>682</v>
      </c>
      <c r="U120" s="10" t="s">
        <v>711</v>
      </c>
      <c r="V120" s="6" t="s">
        <v>59</v>
      </c>
      <c r="W120" s="8">
        <v>2387000</v>
      </c>
      <c r="X120" s="6" t="s">
        <v>74</v>
      </c>
    </row>
    <row r="121" spans="1:25" s="6" customFormat="1" ht="165.6">
      <c r="A121" s="6" t="s">
        <v>39</v>
      </c>
      <c r="B121" s="7" t="s">
        <v>430</v>
      </c>
      <c r="C121" s="7" t="s">
        <v>273</v>
      </c>
      <c r="D121" s="6" t="s">
        <v>712</v>
      </c>
      <c r="E121" s="6" t="s">
        <v>713</v>
      </c>
      <c r="F121" s="6" t="s">
        <v>40</v>
      </c>
      <c r="G121" s="6" t="s">
        <v>55</v>
      </c>
      <c r="H121" s="6" t="s">
        <v>59</v>
      </c>
      <c r="I121" s="7" t="s">
        <v>586</v>
      </c>
      <c r="J121" s="7" t="s">
        <v>586</v>
      </c>
      <c r="K121" s="6">
        <v>1</v>
      </c>
      <c r="L121" s="6" t="s">
        <v>43</v>
      </c>
      <c r="M121" s="8">
        <v>5800</v>
      </c>
      <c r="N121" s="6" t="s">
        <v>714</v>
      </c>
      <c r="O121" s="24">
        <v>1</v>
      </c>
      <c r="P121" s="8">
        <v>5800</v>
      </c>
      <c r="Q121" s="6" t="s">
        <v>714</v>
      </c>
      <c r="R121" s="6" t="s">
        <v>715</v>
      </c>
      <c r="S121" s="6" t="s">
        <v>716</v>
      </c>
      <c r="T121" s="10" t="s">
        <v>717</v>
      </c>
      <c r="U121" s="10" t="s">
        <v>718</v>
      </c>
      <c r="V121" s="6" t="s">
        <v>59</v>
      </c>
      <c r="W121" s="8">
        <v>152542.37</v>
      </c>
      <c r="X121" s="6" t="s">
        <v>74</v>
      </c>
    </row>
    <row r="122" spans="1:25" s="6" customFormat="1" ht="303.60000000000002">
      <c r="A122" s="6" t="s">
        <v>39</v>
      </c>
      <c r="B122" s="7" t="s">
        <v>430</v>
      </c>
      <c r="C122" s="7" t="s">
        <v>192</v>
      </c>
      <c r="D122" s="6" t="s">
        <v>719</v>
      </c>
      <c r="E122" s="6" t="s">
        <v>720</v>
      </c>
      <c r="F122" s="6" t="s">
        <v>40</v>
      </c>
      <c r="G122" s="6" t="s">
        <v>55</v>
      </c>
      <c r="H122" s="6" t="s">
        <v>325</v>
      </c>
      <c r="I122" s="7" t="s">
        <v>721</v>
      </c>
      <c r="J122" s="7" t="s">
        <v>721</v>
      </c>
      <c r="K122" s="6">
        <v>1</v>
      </c>
      <c r="L122" s="6" t="s">
        <v>43</v>
      </c>
      <c r="M122" s="8">
        <v>3965</v>
      </c>
      <c r="N122" s="6" t="s">
        <v>722</v>
      </c>
      <c r="O122" s="24">
        <v>1</v>
      </c>
      <c r="P122" s="8">
        <v>3965</v>
      </c>
      <c r="Q122" s="6" t="s">
        <v>722</v>
      </c>
      <c r="R122" s="6" t="s">
        <v>673</v>
      </c>
      <c r="S122" s="6" t="s">
        <v>723</v>
      </c>
      <c r="T122" s="10" t="s">
        <v>724</v>
      </c>
      <c r="U122" s="10" t="s">
        <v>725</v>
      </c>
      <c r="V122" s="6" t="s">
        <v>59</v>
      </c>
      <c r="W122" s="8">
        <v>17160.150000000001</v>
      </c>
      <c r="X122" s="6" t="s">
        <v>74</v>
      </c>
    </row>
    <row r="123" spans="1:25" s="44" customFormat="1" ht="138">
      <c r="A123" s="37" t="s">
        <v>39</v>
      </c>
      <c r="B123" s="49" t="s">
        <v>430</v>
      </c>
      <c r="C123" s="49" t="s">
        <v>201</v>
      </c>
      <c r="D123" s="37" t="s">
        <v>3360</v>
      </c>
      <c r="E123" s="37" t="s">
        <v>3361</v>
      </c>
      <c r="F123" s="37" t="s">
        <v>2880</v>
      </c>
      <c r="G123" s="37" t="s">
        <v>55</v>
      </c>
      <c r="H123" s="37" t="s">
        <v>137</v>
      </c>
      <c r="I123" s="38" t="s">
        <v>728</v>
      </c>
      <c r="J123" s="38" t="s">
        <v>790</v>
      </c>
      <c r="K123" s="37">
        <v>2</v>
      </c>
      <c r="L123" s="37" t="s">
        <v>2906</v>
      </c>
      <c r="M123" s="39">
        <v>24500</v>
      </c>
      <c r="N123" s="37" t="s">
        <v>3362</v>
      </c>
      <c r="O123" s="40">
        <v>1</v>
      </c>
      <c r="P123" s="39">
        <v>24500</v>
      </c>
      <c r="Q123" s="37" t="s">
        <v>3362</v>
      </c>
      <c r="R123" s="37" t="s">
        <v>3363</v>
      </c>
      <c r="S123" s="37" t="s">
        <v>3364</v>
      </c>
      <c r="T123" s="41" t="s">
        <v>3365</v>
      </c>
      <c r="U123" s="41" t="s">
        <v>3366</v>
      </c>
      <c r="V123" s="37" t="s">
        <v>59</v>
      </c>
      <c r="W123" s="45" t="s">
        <v>461</v>
      </c>
      <c r="X123" s="37" t="s">
        <v>74</v>
      </c>
      <c r="Y123" s="37"/>
    </row>
    <row r="124" spans="1:25" s="6" customFormat="1" ht="372.6">
      <c r="A124" s="6" t="s">
        <v>39</v>
      </c>
      <c r="B124" s="7" t="s">
        <v>430</v>
      </c>
      <c r="C124" s="7" t="s">
        <v>285</v>
      </c>
      <c r="D124" s="6" t="s">
        <v>726</v>
      </c>
      <c r="E124" s="6" t="s">
        <v>727</v>
      </c>
      <c r="F124" s="6" t="s">
        <v>40</v>
      </c>
      <c r="G124" s="6" t="s">
        <v>55</v>
      </c>
      <c r="H124" s="6" t="s">
        <v>137</v>
      </c>
      <c r="I124" s="7" t="s">
        <v>489</v>
      </c>
      <c r="J124" s="7" t="s">
        <v>728</v>
      </c>
      <c r="K124" s="6">
        <v>1</v>
      </c>
      <c r="L124" s="6" t="s">
        <v>43</v>
      </c>
      <c r="M124" s="8">
        <v>10000</v>
      </c>
      <c r="N124" s="6" t="s">
        <v>729</v>
      </c>
      <c r="O124" s="24">
        <v>1</v>
      </c>
      <c r="P124" s="8">
        <v>10000</v>
      </c>
      <c r="Q124" s="6" t="s">
        <v>729</v>
      </c>
      <c r="R124" s="6" t="s">
        <v>730</v>
      </c>
      <c r="S124" s="6" t="s">
        <v>731</v>
      </c>
      <c r="T124" s="10" t="s">
        <v>732</v>
      </c>
      <c r="U124" s="10" t="s">
        <v>733</v>
      </c>
      <c r="V124" s="6" t="s">
        <v>59</v>
      </c>
      <c r="W124" s="8">
        <v>10000</v>
      </c>
      <c r="X124" s="6" t="s">
        <v>74</v>
      </c>
      <c r="Y124" s="6" t="s">
        <v>734</v>
      </c>
    </row>
    <row r="125" spans="1:25" s="6" customFormat="1" ht="409.6">
      <c r="A125" s="6" t="s">
        <v>39</v>
      </c>
      <c r="B125" s="7" t="s">
        <v>430</v>
      </c>
      <c r="C125" s="7" t="s">
        <v>295</v>
      </c>
      <c r="D125" s="6" t="s">
        <v>735</v>
      </c>
      <c r="E125" s="6" t="s">
        <v>736</v>
      </c>
      <c r="F125" s="6" t="s">
        <v>40</v>
      </c>
      <c r="G125" s="6" t="s">
        <v>55</v>
      </c>
      <c r="H125" s="6" t="s">
        <v>613</v>
      </c>
      <c r="I125" s="7" t="s">
        <v>489</v>
      </c>
      <c r="J125" s="7" t="s">
        <v>489</v>
      </c>
      <c r="K125" s="6">
        <v>1</v>
      </c>
      <c r="L125" s="6" t="s">
        <v>289</v>
      </c>
      <c r="M125" s="8">
        <v>8480</v>
      </c>
      <c r="N125" s="6" t="s">
        <v>737</v>
      </c>
      <c r="O125" s="24">
        <v>1</v>
      </c>
      <c r="P125" s="8">
        <v>8480</v>
      </c>
      <c r="Q125" s="6" t="s">
        <v>737</v>
      </c>
      <c r="R125" s="6" t="s">
        <v>673</v>
      </c>
      <c r="S125" s="6" t="s">
        <v>738</v>
      </c>
      <c r="T125" s="10" t="s">
        <v>739</v>
      </c>
      <c r="U125" s="10" t="s">
        <v>740</v>
      </c>
      <c r="V125" s="6" t="s">
        <v>59</v>
      </c>
      <c r="W125" s="8">
        <v>10703616.59</v>
      </c>
      <c r="X125" s="6" t="s">
        <v>74</v>
      </c>
    </row>
    <row r="126" spans="1:25" s="6" customFormat="1" ht="207">
      <c r="A126" s="6" t="s">
        <v>39</v>
      </c>
      <c r="B126" s="7" t="s">
        <v>430</v>
      </c>
      <c r="C126" s="7" t="s">
        <v>305</v>
      </c>
      <c r="D126" s="6" t="s">
        <v>741</v>
      </c>
      <c r="E126" s="6" t="s">
        <v>742</v>
      </c>
      <c r="F126" s="6" t="s">
        <v>40</v>
      </c>
      <c r="G126" s="6" t="s">
        <v>55</v>
      </c>
      <c r="H126" s="6" t="s">
        <v>743</v>
      </c>
      <c r="I126" s="7" t="s">
        <v>489</v>
      </c>
      <c r="J126" s="7" t="s">
        <v>728</v>
      </c>
      <c r="K126" s="6">
        <v>1</v>
      </c>
      <c r="L126" s="6" t="s">
        <v>289</v>
      </c>
      <c r="M126" s="8">
        <v>3980</v>
      </c>
      <c r="N126" s="6" t="s">
        <v>744</v>
      </c>
      <c r="O126" s="24">
        <v>1</v>
      </c>
      <c r="P126" s="8">
        <v>3980</v>
      </c>
      <c r="Q126" s="6" t="s">
        <v>744</v>
      </c>
      <c r="R126" s="6" t="s">
        <v>745</v>
      </c>
      <c r="S126" s="6" t="s">
        <v>327</v>
      </c>
      <c r="T126" s="10" t="s">
        <v>746</v>
      </c>
      <c r="U126" s="10" t="s">
        <v>747</v>
      </c>
      <c r="V126" s="6" t="s">
        <v>59</v>
      </c>
      <c r="W126" s="8">
        <v>5493922.7999999998</v>
      </c>
      <c r="X126" s="6" t="s">
        <v>58</v>
      </c>
    </row>
    <row r="127" spans="1:25" s="6" customFormat="1" ht="248.4">
      <c r="A127" s="6" t="s">
        <v>39</v>
      </c>
      <c r="B127" s="7" t="s">
        <v>430</v>
      </c>
      <c r="C127" s="7" t="s">
        <v>314</v>
      </c>
      <c r="D127" s="6" t="s">
        <v>748</v>
      </c>
      <c r="E127" s="6" t="s">
        <v>749</v>
      </c>
      <c r="F127" s="6" t="s">
        <v>40</v>
      </c>
      <c r="G127" s="6" t="s">
        <v>55</v>
      </c>
      <c r="H127" s="6" t="s">
        <v>750</v>
      </c>
      <c r="I127" s="7" t="s">
        <v>489</v>
      </c>
      <c r="J127" s="7" t="s">
        <v>641</v>
      </c>
      <c r="K127" s="6">
        <v>10</v>
      </c>
      <c r="L127" s="6" t="s">
        <v>43</v>
      </c>
      <c r="M127" s="8">
        <v>12840</v>
      </c>
      <c r="N127" s="6" t="s">
        <v>751</v>
      </c>
      <c r="O127" s="24">
        <v>1</v>
      </c>
      <c r="P127" s="8">
        <v>12840</v>
      </c>
      <c r="Q127" s="6" t="s">
        <v>751</v>
      </c>
      <c r="R127" s="6" t="s">
        <v>752</v>
      </c>
      <c r="S127" s="6" t="s">
        <v>753</v>
      </c>
      <c r="T127" s="10" t="s">
        <v>754</v>
      </c>
      <c r="U127" s="10" t="s">
        <v>755</v>
      </c>
      <c r="V127" s="6" t="s">
        <v>59</v>
      </c>
      <c r="W127" s="8">
        <v>13840</v>
      </c>
      <c r="X127" s="6" t="s">
        <v>58</v>
      </c>
    </row>
    <row r="128" spans="1:25" s="6" customFormat="1" ht="409.6">
      <c r="A128" s="6" t="s">
        <v>39</v>
      </c>
      <c r="B128" s="7" t="s">
        <v>430</v>
      </c>
      <c r="C128" s="7" t="s">
        <v>323</v>
      </c>
      <c r="D128" s="6" t="s">
        <v>756</v>
      </c>
      <c r="E128" s="6" t="s">
        <v>757</v>
      </c>
      <c r="F128" s="6" t="s">
        <v>40</v>
      </c>
      <c r="G128" s="6" t="s">
        <v>497</v>
      </c>
      <c r="H128" s="6" t="s">
        <v>758</v>
      </c>
      <c r="I128" s="7" t="s">
        <v>728</v>
      </c>
      <c r="J128" s="7" t="s">
        <v>759</v>
      </c>
      <c r="K128" s="6">
        <v>12</v>
      </c>
      <c r="L128" s="6" t="s">
        <v>43</v>
      </c>
      <c r="M128" s="8">
        <v>22084.2</v>
      </c>
      <c r="N128" s="6" t="s">
        <v>760</v>
      </c>
      <c r="O128" s="24">
        <v>1</v>
      </c>
      <c r="P128" s="8">
        <v>22084.2</v>
      </c>
      <c r="Q128" s="6" t="s">
        <v>760</v>
      </c>
      <c r="R128" s="6" t="s">
        <v>761</v>
      </c>
      <c r="S128" s="6" t="s">
        <v>762</v>
      </c>
      <c r="T128" s="10" t="s">
        <v>763</v>
      </c>
      <c r="U128" s="10" t="s">
        <v>764</v>
      </c>
      <c r="V128" s="6">
        <v>21.61</v>
      </c>
      <c r="W128" s="8">
        <v>22084.2</v>
      </c>
      <c r="X128" s="6" t="s">
        <v>74</v>
      </c>
      <c r="Y128" s="6" t="s">
        <v>765</v>
      </c>
    </row>
    <row r="129" spans="1:25" s="6" customFormat="1" ht="207">
      <c r="A129" s="6" t="s">
        <v>39</v>
      </c>
      <c r="B129" s="7" t="s">
        <v>430</v>
      </c>
      <c r="C129" s="7" t="s">
        <v>330</v>
      </c>
      <c r="D129" s="6" t="s">
        <v>766</v>
      </c>
      <c r="E129" s="6" t="s">
        <v>767</v>
      </c>
      <c r="F129" s="6" t="s">
        <v>40</v>
      </c>
      <c r="G129" s="6" t="s">
        <v>55</v>
      </c>
      <c r="H129" s="6" t="s">
        <v>768</v>
      </c>
      <c r="I129" s="7" t="s">
        <v>728</v>
      </c>
      <c r="J129" s="7" t="s">
        <v>548</v>
      </c>
      <c r="K129" s="6">
        <v>13</v>
      </c>
      <c r="L129" s="6" t="s">
        <v>43</v>
      </c>
      <c r="M129" s="8">
        <v>66350</v>
      </c>
      <c r="N129" s="6" t="s">
        <v>770</v>
      </c>
      <c r="O129" s="24">
        <v>1</v>
      </c>
      <c r="P129" s="8">
        <v>66350</v>
      </c>
      <c r="Q129" s="6" t="s">
        <v>770</v>
      </c>
      <c r="R129" s="6" t="s">
        <v>771</v>
      </c>
      <c r="S129" s="6" t="s">
        <v>772</v>
      </c>
      <c r="T129" s="10" t="s">
        <v>773</v>
      </c>
      <c r="U129" s="10" t="s">
        <v>774</v>
      </c>
      <c r="V129" s="6" t="s">
        <v>59</v>
      </c>
      <c r="W129" s="8">
        <v>66350</v>
      </c>
      <c r="X129" s="6" t="s">
        <v>58</v>
      </c>
      <c r="Y129" s="6" t="s">
        <v>775</v>
      </c>
    </row>
    <row r="130" spans="1:25" s="6" customFormat="1" ht="303.60000000000002">
      <c r="A130" s="6" t="s">
        <v>39</v>
      </c>
      <c r="B130" s="7" t="s">
        <v>430</v>
      </c>
      <c r="C130" s="7" t="s">
        <v>340</v>
      </c>
      <c r="D130" s="6" t="s">
        <v>776</v>
      </c>
      <c r="E130" s="6" t="s">
        <v>777</v>
      </c>
      <c r="F130" s="6" t="s">
        <v>40</v>
      </c>
      <c r="G130" s="6" t="s">
        <v>55</v>
      </c>
      <c r="H130" s="6" t="s">
        <v>778</v>
      </c>
      <c r="I130" s="7" t="s">
        <v>779</v>
      </c>
      <c r="J130" s="7" t="s">
        <v>780</v>
      </c>
      <c r="K130" s="6">
        <v>10</v>
      </c>
      <c r="L130" s="6" t="s">
        <v>43</v>
      </c>
      <c r="M130" s="8">
        <v>10030</v>
      </c>
      <c r="N130" s="6" t="s">
        <v>781</v>
      </c>
      <c r="O130" s="24">
        <v>1</v>
      </c>
      <c r="P130" s="8">
        <v>11500</v>
      </c>
      <c r="Q130" s="6" t="s">
        <v>786</v>
      </c>
      <c r="R130" s="6" t="s">
        <v>782</v>
      </c>
      <c r="S130" s="6" t="s">
        <v>783</v>
      </c>
      <c r="T130" s="10" t="s">
        <v>784</v>
      </c>
      <c r="U130" s="10" t="s">
        <v>785</v>
      </c>
      <c r="V130" s="6" t="s">
        <v>59</v>
      </c>
      <c r="W130" s="8">
        <v>11500</v>
      </c>
      <c r="X130" s="6" t="s">
        <v>58</v>
      </c>
      <c r="Y130" s="6" t="s">
        <v>787</v>
      </c>
    </row>
    <row r="131" spans="1:25" s="6" customFormat="1" ht="386.4">
      <c r="A131" s="6" t="s">
        <v>39</v>
      </c>
      <c r="B131" s="7" t="s">
        <v>430</v>
      </c>
      <c r="C131" s="7" t="s">
        <v>348</v>
      </c>
      <c r="D131" s="6" t="s">
        <v>788</v>
      </c>
      <c r="E131" s="6" t="s">
        <v>789</v>
      </c>
      <c r="F131" s="6" t="s">
        <v>40</v>
      </c>
      <c r="G131" s="6" t="s">
        <v>55</v>
      </c>
      <c r="H131" s="6" t="s">
        <v>768</v>
      </c>
      <c r="I131" s="7" t="s">
        <v>790</v>
      </c>
      <c r="J131" s="7" t="s">
        <v>368</v>
      </c>
      <c r="K131" s="6">
        <v>3</v>
      </c>
      <c r="L131" s="6" t="s">
        <v>43</v>
      </c>
      <c r="M131" s="8">
        <v>72240</v>
      </c>
      <c r="N131" s="6" t="s">
        <v>791</v>
      </c>
      <c r="O131" s="24">
        <v>1</v>
      </c>
      <c r="P131" s="8">
        <v>72240</v>
      </c>
      <c r="Q131" s="6" t="s">
        <v>791</v>
      </c>
      <c r="R131" s="6" t="s">
        <v>771</v>
      </c>
      <c r="S131" s="6" t="s">
        <v>772</v>
      </c>
      <c r="T131" s="10" t="s">
        <v>792</v>
      </c>
      <c r="U131" s="10" t="s">
        <v>793</v>
      </c>
      <c r="V131" s="6" t="s">
        <v>59</v>
      </c>
      <c r="W131" s="8">
        <v>72240</v>
      </c>
      <c r="X131" s="6" t="s">
        <v>58</v>
      </c>
    </row>
    <row r="132" spans="1:25" s="6" customFormat="1" ht="331.2">
      <c r="A132" s="6" t="s">
        <v>39</v>
      </c>
      <c r="B132" s="7" t="s">
        <v>430</v>
      </c>
      <c r="C132" s="7" t="s">
        <v>358</v>
      </c>
      <c r="D132" s="6" t="s">
        <v>794</v>
      </c>
      <c r="E132" s="6" t="s">
        <v>795</v>
      </c>
      <c r="F132" s="6" t="s">
        <v>40</v>
      </c>
      <c r="G132" s="6" t="s">
        <v>55</v>
      </c>
      <c r="H132" s="6" t="s">
        <v>137</v>
      </c>
      <c r="I132" s="7" t="s">
        <v>790</v>
      </c>
      <c r="J132" s="7" t="s">
        <v>790</v>
      </c>
      <c r="K132" s="6">
        <v>1</v>
      </c>
      <c r="L132" s="6" t="s">
        <v>43</v>
      </c>
      <c r="M132" s="8">
        <v>5000</v>
      </c>
      <c r="N132" s="6" t="s">
        <v>796</v>
      </c>
      <c r="O132" s="24">
        <v>1</v>
      </c>
      <c r="P132" s="8">
        <v>5000</v>
      </c>
      <c r="Q132" s="6" t="s">
        <v>796</v>
      </c>
      <c r="R132" s="6" t="s">
        <v>797</v>
      </c>
      <c r="S132" s="6" t="s">
        <v>798</v>
      </c>
      <c r="T132" s="10" t="s">
        <v>799</v>
      </c>
      <c r="U132" s="10" t="s">
        <v>800</v>
      </c>
      <c r="V132" s="6" t="s">
        <v>59</v>
      </c>
      <c r="W132" s="8">
        <v>7888355</v>
      </c>
      <c r="X132" s="6" t="s">
        <v>58</v>
      </c>
      <c r="Y132" s="6" t="s">
        <v>801</v>
      </c>
    </row>
    <row r="133" spans="1:25" s="6" customFormat="1" ht="345">
      <c r="A133" s="6" t="s">
        <v>39</v>
      </c>
      <c r="B133" s="7" t="s">
        <v>430</v>
      </c>
      <c r="C133" s="7" t="s">
        <v>494</v>
      </c>
      <c r="D133" s="6" t="s">
        <v>802</v>
      </c>
      <c r="E133" s="6" t="s">
        <v>803</v>
      </c>
      <c r="F133" s="6" t="s">
        <v>40</v>
      </c>
      <c r="G133" s="6" t="s">
        <v>55</v>
      </c>
      <c r="H133" s="6" t="s">
        <v>804</v>
      </c>
      <c r="I133" s="7" t="s">
        <v>531</v>
      </c>
      <c r="J133" s="7" t="s">
        <v>531</v>
      </c>
      <c r="K133" s="6">
        <v>1</v>
      </c>
      <c r="L133" s="6" t="s">
        <v>43</v>
      </c>
      <c r="M133" s="8">
        <v>8000</v>
      </c>
      <c r="N133" s="6" t="s">
        <v>805</v>
      </c>
      <c r="O133" s="24">
        <v>1</v>
      </c>
      <c r="P133" s="8">
        <v>8000</v>
      </c>
      <c r="Q133" s="6" t="s">
        <v>805</v>
      </c>
      <c r="R133" s="6" t="s">
        <v>806</v>
      </c>
      <c r="S133" s="6" t="s">
        <v>807</v>
      </c>
      <c r="T133" s="10" t="s">
        <v>808</v>
      </c>
      <c r="U133" s="10" t="s">
        <v>809</v>
      </c>
      <c r="V133" s="6" t="s">
        <v>59</v>
      </c>
      <c r="W133" s="8">
        <v>1150000</v>
      </c>
      <c r="X133" s="6" t="s">
        <v>58</v>
      </c>
    </row>
    <row r="134" spans="1:25" s="6" customFormat="1" ht="165.6">
      <c r="A134" s="6" t="s">
        <v>39</v>
      </c>
      <c r="B134" s="7" t="s">
        <v>430</v>
      </c>
      <c r="C134" s="7" t="s">
        <v>505</v>
      </c>
      <c r="D134" s="6" t="s">
        <v>810</v>
      </c>
      <c r="E134" s="6" t="s">
        <v>811</v>
      </c>
      <c r="F134" s="6" t="s">
        <v>40</v>
      </c>
      <c r="G134" s="6" t="s">
        <v>497</v>
      </c>
      <c r="H134" s="6" t="s">
        <v>758</v>
      </c>
      <c r="I134" s="7" t="s">
        <v>368</v>
      </c>
      <c r="J134" s="7" t="s">
        <v>812</v>
      </c>
      <c r="K134" s="6">
        <v>5</v>
      </c>
      <c r="L134" s="6" t="s">
        <v>43</v>
      </c>
      <c r="M134" s="8">
        <v>83722.44</v>
      </c>
      <c r="N134" s="6" t="s">
        <v>813</v>
      </c>
      <c r="O134" s="24">
        <v>1</v>
      </c>
      <c r="P134" s="8">
        <v>83722.44</v>
      </c>
      <c r="Q134" s="6" t="s">
        <v>813</v>
      </c>
      <c r="R134" s="6" t="s">
        <v>761</v>
      </c>
      <c r="S134" s="6" t="s">
        <v>762</v>
      </c>
      <c r="T134" s="10" t="s">
        <v>814</v>
      </c>
      <c r="U134" s="10" t="s">
        <v>815</v>
      </c>
      <c r="V134" s="6" t="s">
        <v>59</v>
      </c>
      <c r="W134" s="8">
        <v>83722.44</v>
      </c>
      <c r="X134" s="6" t="s">
        <v>58</v>
      </c>
    </row>
    <row r="135" spans="1:25" s="6" customFormat="1" ht="193.2">
      <c r="A135" s="6" t="s">
        <v>39</v>
      </c>
      <c r="B135" s="7" t="s">
        <v>430</v>
      </c>
      <c r="C135" s="7" t="s">
        <v>514</v>
      </c>
      <c r="D135" s="6" t="s">
        <v>816</v>
      </c>
      <c r="E135" s="6" t="s">
        <v>817</v>
      </c>
      <c r="F135" s="6" t="s">
        <v>40</v>
      </c>
      <c r="G135" s="6" t="s">
        <v>55</v>
      </c>
      <c r="H135" s="6" t="s">
        <v>750</v>
      </c>
      <c r="I135" s="7" t="s">
        <v>531</v>
      </c>
      <c r="J135" s="7" t="s">
        <v>531</v>
      </c>
      <c r="K135" s="6">
        <v>1</v>
      </c>
      <c r="L135" s="6" t="s">
        <v>43</v>
      </c>
      <c r="M135" s="8">
        <v>2240</v>
      </c>
      <c r="N135" s="6" t="s">
        <v>818</v>
      </c>
      <c r="O135" s="24">
        <v>1</v>
      </c>
      <c r="P135" s="8">
        <v>2240</v>
      </c>
      <c r="Q135" s="6" t="s">
        <v>818</v>
      </c>
      <c r="R135" s="6" t="s">
        <v>752</v>
      </c>
      <c r="S135" s="6" t="s">
        <v>753</v>
      </c>
      <c r="T135" s="10" t="s">
        <v>819</v>
      </c>
      <c r="U135" s="10" t="s">
        <v>820</v>
      </c>
      <c r="V135" s="6" t="s">
        <v>59</v>
      </c>
      <c r="W135" s="8">
        <v>2240</v>
      </c>
      <c r="X135" s="6" t="s">
        <v>74</v>
      </c>
    </row>
    <row r="136" spans="1:25" s="6" customFormat="1" ht="248.4">
      <c r="A136" s="6" t="s">
        <v>39</v>
      </c>
      <c r="B136" s="7" t="s">
        <v>430</v>
      </c>
      <c r="C136" s="7" t="s">
        <v>522</v>
      </c>
      <c r="D136" s="6" t="s">
        <v>821</v>
      </c>
      <c r="E136" s="6" t="s">
        <v>822</v>
      </c>
      <c r="F136" s="6" t="s">
        <v>40</v>
      </c>
      <c r="G136" s="6" t="s">
        <v>55</v>
      </c>
      <c r="H136" s="6" t="s">
        <v>613</v>
      </c>
      <c r="I136" s="7" t="s">
        <v>368</v>
      </c>
      <c r="J136" s="7" t="s">
        <v>823</v>
      </c>
      <c r="K136" s="6">
        <v>3</v>
      </c>
      <c r="L136" s="6" t="s">
        <v>43</v>
      </c>
      <c r="M136" s="8">
        <v>5960</v>
      </c>
      <c r="N136" s="6" t="s">
        <v>824</v>
      </c>
      <c r="O136" s="24">
        <v>1</v>
      </c>
      <c r="P136" s="8">
        <v>5960</v>
      </c>
      <c r="Q136" s="6" t="s">
        <v>824</v>
      </c>
      <c r="R136" s="6" t="s">
        <v>257</v>
      </c>
      <c r="S136" s="6" t="s">
        <v>710</v>
      </c>
      <c r="T136" s="10" t="s">
        <v>825</v>
      </c>
      <c r="U136" s="10" t="s">
        <v>826</v>
      </c>
      <c r="V136" s="6" t="s">
        <v>59</v>
      </c>
      <c r="W136" s="8">
        <v>5960</v>
      </c>
      <c r="X136" s="6" t="s">
        <v>74</v>
      </c>
    </row>
    <row r="137" spans="1:25" s="6" customFormat="1" ht="207">
      <c r="A137" s="6" t="s">
        <v>39</v>
      </c>
      <c r="B137" s="7" t="s">
        <v>430</v>
      </c>
      <c r="C137" s="7" t="s">
        <v>528</v>
      </c>
      <c r="D137" s="6" t="s">
        <v>827</v>
      </c>
      <c r="E137" s="6" t="s">
        <v>828</v>
      </c>
      <c r="F137" s="6" t="s">
        <v>40</v>
      </c>
      <c r="G137" s="6" t="s">
        <v>55</v>
      </c>
      <c r="H137" s="6" t="s">
        <v>768</v>
      </c>
      <c r="I137" s="7" t="s">
        <v>368</v>
      </c>
      <c r="J137" s="7" t="s">
        <v>823</v>
      </c>
      <c r="K137" s="6">
        <v>3</v>
      </c>
      <c r="L137" s="6" t="s">
        <v>43</v>
      </c>
      <c r="M137" s="8">
        <v>141465</v>
      </c>
      <c r="N137" s="6" t="s">
        <v>829</v>
      </c>
      <c r="O137" s="24">
        <v>1</v>
      </c>
      <c r="P137" s="8">
        <v>141465</v>
      </c>
      <c r="Q137" s="6" t="s">
        <v>829</v>
      </c>
      <c r="R137" s="6" t="s">
        <v>771</v>
      </c>
      <c r="S137" s="6" t="s">
        <v>772</v>
      </c>
      <c r="T137" s="10" t="s">
        <v>830</v>
      </c>
      <c r="U137" s="10" t="s">
        <v>831</v>
      </c>
      <c r="V137" s="6" t="s">
        <v>59</v>
      </c>
      <c r="W137" s="8">
        <v>141465</v>
      </c>
      <c r="X137" s="6" t="s">
        <v>58</v>
      </c>
    </row>
    <row r="138" spans="1:25" s="6" customFormat="1" ht="234.6">
      <c r="A138" s="6" t="s">
        <v>39</v>
      </c>
      <c r="B138" s="7" t="s">
        <v>430</v>
      </c>
      <c r="C138" s="7" t="s">
        <v>536</v>
      </c>
      <c r="D138" s="6" t="s">
        <v>832</v>
      </c>
      <c r="E138" s="6" t="s">
        <v>833</v>
      </c>
      <c r="F138" s="6" t="s">
        <v>40</v>
      </c>
      <c r="G138" s="6" t="s">
        <v>55</v>
      </c>
      <c r="H138" s="6" t="s">
        <v>768</v>
      </c>
      <c r="I138" s="7" t="s">
        <v>368</v>
      </c>
      <c r="J138" s="7" t="s">
        <v>769</v>
      </c>
      <c r="K138" s="6">
        <v>2</v>
      </c>
      <c r="L138" s="6" t="s">
        <v>43</v>
      </c>
      <c r="M138" s="8">
        <v>46750</v>
      </c>
      <c r="N138" s="6" t="s">
        <v>834</v>
      </c>
      <c r="O138" s="24">
        <v>1</v>
      </c>
      <c r="P138" s="8">
        <v>46750</v>
      </c>
      <c r="Q138" s="6" t="s">
        <v>834</v>
      </c>
      <c r="R138" s="6" t="s">
        <v>771</v>
      </c>
      <c r="S138" s="6" t="s">
        <v>772</v>
      </c>
      <c r="T138" s="10" t="s">
        <v>835</v>
      </c>
      <c r="U138" s="10" t="s">
        <v>836</v>
      </c>
      <c r="V138" s="6" t="s">
        <v>59</v>
      </c>
      <c r="W138" s="8">
        <v>46750</v>
      </c>
      <c r="X138" s="6" t="s">
        <v>58</v>
      </c>
    </row>
    <row r="139" spans="1:25" s="6" customFormat="1" ht="179.4">
      <c r="A139" s="6" t="s">
        <v>39</v>
      </c>
      <c r="B139" s="7" t="s">
        <v>430</v>
      </c>
      <c r="C139" s="7" t="s">
        <v>544</v>
      </c>
      <c r="D139" s="6" t="s">
        <v>837</v>
      </c>
      <c r="E139" s="6" t="s">
        <v>838</v>
      </c>
      <c r="F139" s="6" t="s">
        <v>40</v>
      </c>
      <c r="G139" s="6" t="s">
        <v>55</v>
      </c>
      <c r="H139" s="6" t="s">
        <v>768</v>
      </c>
      <c r="I139" s="7" t="s">
        <v>368</v>
      </c>
      <c r="J139" s="7" t="s">
        <v>368</v>
      </c>
      <c r="K139" s="6">
        <v>1</v>
      </c>
      <c r="L139" s="6" t="s">
        <v>43</v>
      </c>
      <c r="M139" s="8">
        <v>21200</v>
      </c>
      <c r="N139" s="6" t="s">
        <v>839</v>
      </c>
      <c r="O139" s="24">
        <v>1</v>
      </c>
      <c r="P139" s="8">
        <v>21200</v>
      </c>
      <c r="Q139" s="6" t="s">
        <v>839</v>
      </c>
      <c r="R139" s="6" t="s">
        <v>771</v>
      </c>
      <c r="S139" s="6" t="s">
        <v>772</v>
      </c>
      <c r="T139" s="10" t="s">
        <v>840</v>
      </c>
      <c r="U139" s="10" t="s">
        <v>841</v>
      </c>
      <c r="V139" s="6" t="s">
        <v>59</v>
      </c>
      <c r="W139" s="8">
        <v>21200</v>
      </c>
      <c r="X139" s="6" t="s">
        <v>74</v>
      </c>
    </row>
    <row r="140" spans="1:25" s="6" customFormat="1" ht="193.2">
      <c r="A140" s="6" t="s">
        <v>39</v>
      </c>
      <c r="B140" s="7" t="s">
        <v>430</v>
      </c>
      <c r="C140" s="7" t="s">
        <v>842</v>
      </c>
      <c r="D140" s="6" t="s">
        <v>843</v>
      </c>
      <c r="E140" s="6" t="s">
        <v>844</v>
      </c>
      <c r="F140" s="6" t="s">
        <v>40</v>
      </c>
      <c r="G140" s="6" t="s">
        <v>55</v>
      </c>
      <c r="H140" s="6" t="s">
        <v>845</v>
      </c>
      <c r="I140" s="7" t="s">
        <v>368</v>
      </c>
      <c r="J140" s="7" t="s">
        <v>368</v>
      </c>
      <c r="K140" s="6">
        <v>1</v>
      </c>
      <c r="L140" s="6" t="s">
        <v>43</v>
      </c>
      <c r="M140" s="8">
        <v>1500</v>
      </c>
      <c r="N140" s="6" t="s">
        <v>846</v>
      </c>
      <c r="O140" s="24">
        <v>1</v>
      </c>
      <c r="P140" s="8">
        <v>1500</v>
      </c>
      <c r="Q140" s="6" t="s">
        <v>846</v>
      </c>
      <c r="R140" s="6" t="s">
        <v>847</v>
      </c>
      <c r="S140" s="6" t="s">
        <v>753</v>
      </c>
      <c r="T140" s="10" t="s">
        <v>848</v>
      </c>
      <c r="U140" s="10" t="s">
        <v>849</v>
      </c>
      <c r="V140" s="6" t="s">
        <v>59</v>
      </c>
      <c r="W140" s="8">
        <v>1500</v>
      </c>
      <c r="X140" s="6" t="s">
        <v>74</v>
      </c>
    </row>
    <row r="141" spans="1:25" s="6" customFormat="1" ht="138">
      <c r="A141" s="6" t="s">
        <v>39</v>
      </c>
      <c r="B141" s="7" t="s">
        <v>647</v>
      </c>
      <c r="C141" s="7" t="s">
        <v>80</v>
      </c>
      <c r="D141" s="6" t="s">
        <v>850</v>
      </c>
      <c r="E141" s="6" t="s">
        <v>851</v>
      </c>
      <c r="F141" s="6" t="s">
        <v>40</v>
      </c>
      <c r="G141" s="6" t="s">
        <v>55</v>
      </c>
      <c r="H141" s="6" t="s">
        <v>852</v>
      </c>
      <c r="I141" s="7" t="s">
        <v>641</v>
      </c>
      <c r="J141" s="7" t="s">
        <v>812</v>
      </c>
      <c r="K141" s="6">
        <v>2</v>
      </c>
      <c r="L141" s="6" t="s">
        <v>43</v>
      </c>
      <c r="M141" s="8">
        <v>3970</v>
      </c>
      <c r="N141" s="6" t="s">
        <v>853</v>
      </c>
      <c r="O141" s="24">
        <v>1</v>
      </c>
      <c r="P141" s="8">
        <v>3970</v>
      </c>
      <c r="Q141" s="6" t="s">
        <v>853</v>
      </c>
      <c r="R141" s="6" t="s">
        <v>854</v>
      </c>
      <c r="S141" s="6" t="s">
        <v>855</v>
      </c>
      <c r="T141" s="10" t="s">
        <v>856</v>
      </c>
      <c r="U141" s="10" t="s">
        <v>857</v>
      </c>
      <c r="V141" s="6" t="s">
        <v>59</v>
      </c>
      <c r="W141" s="8">
        <v>3970</v>
      </c>
      <c r="X141" s="6" t="s">
        <v>74</v>
      </c>
    </row>
    <row r="142" spans="1:25" s="6" customFormat="1" ht="276">
      <c r="A142" s="6" t="s">
        <v>39</v>
      </c>
      <c r="B142" s="7" t="s">
        <v>647</v>
      </c>
      <c r="C142" s="7" t="s">
        <v>93</v>
      </c>
      <c r="D142" s="6" t="s">
        <v>858</v>
      </c>
      <c r="E142" s="6" t="s">
        <v>864</v>
      </c>
      <c r="F142" s="6" t="s">
        <v>40</v>
      </c>
      <c r="G142" s="6" t="s">
        <v>55</v>
      </c>
      <c r="H142" s="6" t="s">
        <v>859</v>
      </c>
      <c r="I142" s="7" t="s">
        <v>780</v>
      </c>
      <c r="J142" s="7" t="s">
        <v>860</v>
      </c>
      <c r="K142" s="6">
        <v>13</v>
      </c>
      <c r="L142" s="6" t="s">
        <v>43</v>
      </c>
      <c r="M142" s="8">
        <v>84969</v>
      </c>
      <c r="N142" s="6" t="s">
        <v>861</v>
      </c>
      <c r="O142" s="24">
        <v>1</v>
      </c>
      <c r="P142" s="8">
        <v>84969</v>
      </c>
      <c r="Q142" s="6" t="s">
        <v>861</v>
      </c>
      <c r="R142" s="6" t="s">
        <v>862</v>
      </c>
      <c r="S142" s="6" t="s">
        <v>863</v>
      </c>
      <c r="T142" s="10" t="s">
        <v>865</v>
      </c>
      <c r="U142" s="10" t="s">
        <v>866</v>
      </c>
      <c r="V142" s="6" t="s">
        <v>59</v>
      </c>
      <c r="W142" s="8">
        <v>84969</v>
      </c>
      <c r="X142" s="6" t="s">
        <v>58</v>
      </c>
    </row>
    <row r="143" spans="1:25" s="6" customFormat="1" ht="289.8">
      <c r="A143" s="6" t="s">
        <v>39</v>
      </c>
      <c r="B143" s="7" t="s">
        <v>647</v>
      </c>
      <c r="C143" s="7" t="s">
        <v>104</v>
      </c>
      <c r="D143" s="6" t="s">
        <v>867</v>
      </c>
      <c r="E143" s="6" t="s">
        <v>868</v>
      </c>
      <c r="F143" s="6" t="s">
        <v>40</v>
      </c>
      <c r="G143" s="6" t="s">
        <v>55</v>
      </c>
      <c r="H143" s="6" t="s">
        <v>128</v>
      </c>
      <c r="I143" s="7" t="s">
        <v>759</v>
      </c>
      <c r="J143" s="7" t="s">
        <v>869</v>
      </c>
      <c r="K143" s="6">
        <v>32</v>
      </c>
      <c r="L143" s="6" t="s">
        <v>43</v>
      </c>
      <c r="M143" s="8">
        <v>109495</v>
      </c>
      <c r="N143" s="6" t="s">
        <v>870</v>
      </c>
      <c r="O143" s="24">
        <v>1</v>
      </c>
      <c r="P143" s="8">
        <v>109495</v>
      </c>
      <c r="Q143" s="6" t="s">
        <v>870</v>
      </c>
      <c r="R143" s="6" t="s">
        <v>628</v>
      </c>
      <c r="S143" s="6" t="s">
        <v>871</v>
      </c>
      <c r="T143" s="10" t="s">
        <v>872</v>
      </c>
      <c r="U143" s="10" t="s">
        <v>873</v>
      </c>
      <c r="V143" s="6" t="s">
        <v>59</v>
      </c>
      <c r="W143" s="8">
        <v>109495</v>
      </c>
      <c r="X143" s="6" t="s">
        <v>58</v>
      </c>
    </row>
    <row r="144" spans="1:25" s="6" customFormat="1" ht="289.8">
      <c r="A144" s="6" t="s">
        <v>39</v>
      </c>
      <c r="B144" s="7" t="s">
        <v>647</v>
      </c>
      <c r="C144" s="7" t="s">
        <v>113</v>
      </c>
      <c r="D144" s="6" t="s">
        <v>874</v>
      </c>
      <c r="E144" s="6" t="s">
        <v>4131</v>
      </c>
      <c r="F144" s="6" t="s">
        <v>40</v>
      </c>
      <c r="G144" s="6" t="s">
        <v>875</v>
      </c>
      <c r="H144" s="6" t="s">
        <v>876</v>
      </c>
      <c r="I144" s="7" t="s">
        <v>780</v>
      </c>
      <c r="J144" s="7" t="s">
        <v>759</v>
      </c>
      <c r="K144" s="6">
        <v>2</v>
      </c>
      <c r="L144" s="6" t="s">
        <v>43</v>
      </c>
      <c r="M144" s="8">
        <v>21960</v>
      </c>
      <c r="N144" s="6" t="s">
        <v>877</v>
      </c>
      <c r="O144" s="24">
        <v>1</v>
      </c>
      <c r="P144" s="8">
        <v>21960</v>
      </c>
      <c r="Q144" s="6" t="s">
        <v>877</v>
      </c>
      <c r="R144" s="6" t="s">
        <v>878</v>
      </c>
      <c r="S144" s="6" t="s">
        <v>879</v>
      </c>
      <c r="T144" s="10" t="s">
        <v>880</v>
      </c>
      <c r="U144" s="10" t="s">
        <v>881</v>
      </c>
      <c r="V144" s="6" t="s">
        <v>59</v>
      </c>
      <c r="W144" s="8">
        <v>21960</v>
      </c>
      <c r="X144" s="6" t="s">
        <v>74</v>
      </c>
    </row>
    <row r="145" spans="1:25" s="6" customFormat="1" ht="262.2">
      <c r="A145" s="6" t="s">
        <v>39</v>
      </c>
      <c r="B145" s="7" t="s">
        <v>647</v>
      </c>
      <c r="C145" s="7" t="s">
        <v>167</v>
      </c>
      <c r="D145" s="6" t="s">
        <v>882</v>
      </c>
      <c r="E145" s="6" t="s">
        <v>757</v>
      </c>
      <c r="F145" s="6" t="s">
        <v>40</v>
      </c>
      <c r="G145" s="6" t="s">
        <v>497</v>
      </c>
      <c r="H145" s="6" t="s">
        <v>758</v>
      </c>
      <c r="I145" s="7" t="s">
        <v>780</v>
      </c>
      <c r="J145" s="7" t="s">
        <v>548</v>
      </c>
      <c r="K145" s="6">
        <v>3</v>
      </c>
      <c r="L145" s="6" t="s">
        <v>43</v>
      </c>
      <c r="M145" s="8">
        <v>14732.15</v>
      </c>
      <c r="N145" s="6" t="s">
        <v>883</v>
      </c>
      <c r="O145" s="24">
        <v>1</v>
      </c>
      <c r="P145" s="8">
        <v>14732.15</v>
      </c>
      <c r="Q145" s="6" t="s">
        <v>883</v>
      </c>
      <c r="R145" s="6" t="s">
        <v>761</v>
      </c>
      <c r="S145" s="6" t="s">
        <v>884</v>
      </c>
      <c r="T145" s="10" t="s">
        <v>763</v>
      </c>
      <c r="U145" s="10" t="s">
        <v>885</v>
      </c>
      <c r="V145" s="6">
        <v>21.61</v>
      </c>
      <c r="W145" s="8">
        <v>14732.15</v>
      </c>
      <c r="X145" s="6" t="s">
        <v>74</v>
      </c>
    </row>
    <row r="146" spans="1:25" s="6" customFormat="1" ht="110.4">
      <c r="A146" s="6" t="s">
        <v>39</v>
      </c>
      <c r="B146" s="7" t="s">
        <v>647</v>
      </c>
      <c r="C146" s="7" t="s">
        <v>176</v>
      </c>
      <c r="D146" s="6" t="s">
        <v>886</v>
      </c>
      <c r="E146" s="6" t="s">
        <v>887</v>
      </c>
      <c r="F146" s="6" t="s">
        <v>40</v>
      </c>
      <c r="G146" s="6" t="s">
        <v>55</v>
      </c>
      <c r="H146" s="6" t="s">
        <v>888</v>
      </c>
      <c r="I146" s="7" t="s">
        <v>759</v>
      </c>
      <c r="J146" s="7" t="s">
        <v>626</v>
      </c>
      <c r="K146" s="6">
        <v>14</v>
      </c>
      <c r="L146" s="6" t="s">
        <v>43</v>
      </c>
      <c r="M146" s="8">
        <v>57551.55</v>
      </c>
      <c r="N146" s="6" t="s">
        <v>889</v>
      </c>
      <c r="O146" s="24">
        <v>1</v>
      </c>
      <c r="P146" s="8">
        <v>57551.55</v>
      </c>
      <c r="Q146" s="6" t="s">
        <v>889</v>
      </c>
      <c r="R146" s="6" t="s">
        <v>862</v>
      </c>
      <c r="S146" s="6" t="s">
        <v>890</v>
      </c>
      <c r="T146" s="10" t="s">
        <v>891</v>
      </c>
      <c r="U146" s="10" t="s">
        <v>892</v>
      </c>
      <c r="V146" s="6" t="s">
        <v>59</v>
      </c>
      <c r="W146" s="8">
        <v>57551.55</v>
      </c>
      <c r="X146" s="6" t="s">
        <v>74</v>
      </c>
    </row>
    <row r="147" spans="1:25" s="6" customFormat="1" ht="289.8">
      <c r="A147" s="6" t="s">
        <v>39</v>
      </c>
      <c r="B147" s="7" t="s">
        <v>647</v>
      </c>
      <c r="C147" s="7" t="s">
        <v>183</v>
      </c>
      <c r="D147" s="6" t="s">
        <v>893</v>
      </c>
      <c r="E147" s="6" t="s">
        <v>894</v>
      </c>
      <c r="F147" s="6" t="s">
        <v>40</v>
      </c>
      <c r="G147" s="6" t="s">
        <v>55</v>
      </c>
      <c r="H147" s="6" t="s">
        <v>778</v>
      </c>
      <c r="I147" s="7" t="s">
        <v>759</v>
      </c>
      <c r="J147" s="7" t="s">
        <v>895</v>
      </c>
      <c r="K147" s="6">
        <v>3</v>
      </c>
      <c r="L147" s="6" t="s">
        <v>43</v>
      </c>
      <c r="M147" s="8">
        <v>15890</v>
      </c>
      <c r="N147" s="6" t="s">
        <v>896</v>
      </c>
      <c r="O147" s="24">
        <v>1</v>
      </c>
      <c r="P147" s="8">
        <v>15890</v>
      </c>
      <c r="Q147" s="6" t="s">
        <v>896</v>
      </c>
      <c r="R147" s="6" t="s">
        <v>897</v>
      </c>
      <c r="S147" s="6" t="s">
        <v>898</v>
      </c>
      <c r="T147" s="10" t="s">
        <v>899</v>
      </c>
      <c r="U147" s="10" t="s">
        <v>900</v>
      </c>
      <c r="V147" s="6" t="s">
        <v>59</v>
      </c>
      <c r="W147" s="8">
        <v>15890</v>
      </c>
      <c r="X147" s="6" t="s">
        <v>4070</v>
      </c>
    </row>
    <row r="148" spans="1:25" s="6" customFormat="1" ht="220.8">
      <c r="A148" s="6" t="s">
        <v>39</v>
      </c>
      <c r="B148" s="7" t="s">
        <v>647</v>
      </c>
      <c r="C148" s="7" t="s">
        <v>114</v>
      </c>
      <c r="D148" s="6" t="s">
        <v>901</v>
      </c>
      <c r="E148" s="6" t="s">
        <v>902</v>
      </c>
      <c r="F148" s="6" t="s">
        <v>40</v>
      </c>
      <c r="G148" s="6" t="s">
        <v>55</v>
      </c>
      <c r="H148" s="6" t="s">
        <v>903</v>
      </c>
      <c r="I148" s="7" t="s">
        <v>548</v>
      </c>
      <c r="J148" s="7" t="s">
        <v>860</v>
      </c>
      <c r="K148" s="6">
        <v>11</v>
      </c>
      <c r="L148" s="6" t="s">
        <v>43</v>
      </c>
      <c r="M148" s="8">
        <v>39969</v>
      </c>
      <c r="N148" s="6" t="s">
        <v>904</v>
      </c>
      <c r="O148" s="24">
        <v>1</v>
      </c>
      <c r="P148" s="8">
        <v>39969</v>
      </c>
      <c r="Q148" s="6" t="s">
        <v>904</v>
      </c>
      <c r="R148" s="6" t="s">
        <v>905</v>
      </c>
      <c r="S148" s="6" t="s">
        <v>906</v>
      </c>
      <c r="T148" s="10" t="s">
        <v>907</v>
      </c>
      <c r="U148" s="10" t="s">
        <v>908</v>
      </c>
      <c r="V148" s="6">
        <v>0.115</v>
      </c>
      <c r="W148" s="8">
        <v>39969</v>
      </c>
      <c r="X148" s="6" t="s">
        <v>58</v>
      </c>
    </row>
    <row r="149" spans="1:25" s="6" customFormat="1" ht="303.60000000000002">
      <c r="A149" s="6" t="s">
        <v>39</v>
      </c>
      <c r="B149" s="7" t="s">
        <v>647</v>
      </c>
      <c r="C149" s="7" t="s">
        <v>125</v>
      </c>
      <c r="D149" s="6" t="s">
        <v>909</v>
      </c>
      <c r="E149" s="6" t="s">
        <v>910</v>
      </c>
      <c r="F149" s="6" t="s">
        <v>40</v>
      </c>
      <c r="G149" s="6" t="s">
        <v>55</v>
      </c>
      <c r="H149" s="6" t="s">
        <v>911</v>
      </c>
      <c r="I149" s="7" t="s">
        <v>912</v>
      </c>
      <c r="J149" s="7" t="s">
        <v>548</v>
      </c>
      <c r="K149" s="6">
        <v>1</v>
      </c>
      <c r="L149" s="6" t="s">
        <v>43</v>
      </c>
      <c r="M149" s="8">
        <v>4300</v>
      </c>
      <c r="N149" s="6" t="s">
        <v>913</v>
      </c>
      <c r="O149" s="24">
        <v>1</v>
      </c>
      <c r="P149" s="8">
        <v>4300</v>
      </c>
      <c r="Q149" s="6" t="s">
        <v>913</v>
      </c>
      <c r="R149" s="6" t="s">
        <v>914</v>
      </c>
      <c r="S149" s="6" t="s">
        <v>915</v>
      </c>
      <c r="T149" s="10" t="s">
        <v>916</v>
      </c>
      <c r="U149" s="10" t="s">
        <v>917</v>
      </c>
      <c r="V149" s="6" t="s">
        <v>59</v>
      </c>
      <c r="W149" s="8">
        <v>4300</v>
      </c>
      <c r="X149" s="6" t="s">
        <v>74</v>
      </c>
    </row>
    <row r="150" spans="1:25" s="6" customFormat="1" ht="303.60000000000002">
      <c r="A150" s="6" t="s">
        <v>39</v>
      </c>
      <c r="B150" s="7" t="s">
        <v>647</v>
      </c>
      <c r="C150" s="7" t="s">
        <v>134</v>
      </c>
      <c r="D150" s="6" t="s">
        <v>918</v>
      </c>
      <c r="E150" s="6" t="s">
        <v>919</v>
      </c>
      <c r="F150" s="6" t="s">
        <v>40</v>
      </c>
      <c r="G150" s="6" t="s">
        <v>55</v>
      </c>
      <c r="H150" s="6" t="s">
        <v>920</v>
      </c>
      <c r="I150" s="7" t="s">
        <v>548</v>
      </c>
      <c r="J150" s="7" t="s">
        <v>895</v>
      </c>
      <c r="K150" s="6">
        <v>1</v>
      </c>
      <c r="L150" s="6" t="s">
        <v>43</v>
      </c>
      <c r="M150" s="8">
        <v>4400</v>
      </c>
      <c r="N150" s="6" t="s">
        <v>921</v>
      </c>
      <c r="O150" s="24">
        <v>1</v>
      </c>
      <c r="P150" s="8">
        <v>4400</v>
      </c>
      <c r="Q150" s="6" t="s">
        <v>922</v>
      </c>
      <c r="R150" s="6" t="s">
        <v>914</v>
      </c>
      <c r="S150" s="6" t="s">
        <v>915</v>
      </c>
      <c r="T150" s="10" t="s">
        <v>923</v>
      </c>
      <c r="U150" s="10" t="s">
        <v>924</v>
      </c>
      <c r="V150" s="6" t="s">
        <v>59</v>
      </c>
      <c r="W150" s="8">
        <v>4400</v>
      </c>
      <c r="X150" s="6" t="s">
        <v>74</v>
      </c>
    </row>
    <row r="151" spans="1:25" s="6" customFormat="1" ht="220.8">
      <c r="A151" s="6" t="s">
        <v>39</v>
      </c>
      <c r="B151" s="7" t="s">
        <v>647</v>
      </c>
      <c r="C151" s="7" t="s">
        <v>191</v>
      </c>
      <c r="D151" s="6" t="s">
        <v>925</v>
      </c>
      <c r="E151" s="6" t="s">
        <v>926</v>
      </c>
      <c r="F151" s="6" t="s">
        <v>40</v>
      </c>
      <c r="G151" s="6" t="s">
        <v>55</v>
      </c>
      <c r="H151" s="6" t="s">
        <v>927</v>
      </c>
      <c r="I151" s="7" t="s">
        <v>895</v>
      </c>
      <c r="J151" s="7" t="s">
        <v>928</v>
      </c>
      <c r="K151" s="6">
        <v>13</v>
      </c>
      <c r="L151" s="6" t="s">
        <v>43</v>
      </c>
      <c r="M151" s="8">
        <v>40490</v>
      </c>
      <c r="N151" s="6" t="s">
        <v>929</v>
      </c>
      <c r="O151" s="24">
        <v>1</v>
      </c>
      <c r="P151" s="8">
        <v>40490</v>
      </c>
      <c r="Q151" s="6" t="s">
        <v>929</v>
      </c>
      <c r="R151" s="6" t="s">
        <v>862</v>
      </c>
      <c r="S151" s="6" t="s">
        <v>930</v>
      </c>
      <c r="T151" s="10" t="s">
        <v>931</v>
      </c>
      <c r="U151" s="10" t="s">
        <v>932</v>
      </c>
      <c r="V151" s="6" t="s">
        <v>59</v>
      </c>
      <c r="W151" s="8">
        <v>40490</v>
      </c>
      <c r="X151" s="6" t="s">
        <v>58</v>
      </c>
    </row>
    <row r="152" spans="1:25" s="6" customFormat="1" ht="234.6">
      <c r="A152" s="6" t="s">
        <v>39</v>
      </c>
      <c r="B152" s="7" t="s">
        <v>647</v>
      </c>
      <c r="C152" s="7" t="s">
        <v>273</v>
      </c>
      <c r="D152" s="6" t="s">
        <v>933</v>
      </c>
      <c r="E152" s="6" t="s">
        <v>934</v>
      </c>
      <c r="F152" s="6" t="s">
        <v>40</v>
      </c>
      <c r="G152" s="6" t="s">
        <v>55</v>
      </c>
      <c r="H152" s="6" t="s">
        <v>613</v>
      </c>
      <c r="I152" s="7" t="s">
        <v>935</v>
      </c>
      <c r="J152" s="7" t="s">
        <v>935</v>
      </c>
      <c r="K152" s="6">
        <v>1</v>
      </c>
      <c r="L152" s="6" t="s">
        <v>289</v>
      </c>
      <c r="M152" s="8">
        <v>1700</v>
      </c>
      <c r="N152" s="6" t="s">
        <v>936</v>
      </c>
      <c r="O152" s="24">
        <v>0.5</v>
      </c>
      <c r="P152" s="8">
        <v>1700</v>
      </c>
      <c r="Q152" s="6" t="s">
        <v>936</v>
      </c>
      <c r="R152" s="6" t="s">
        <v>659</v>
      </c>
      <c r="S152" s="6" t="s">
        <v>937</v>
      </c>
      <c r="T152" s="10" t="s">
        <v>938</v>
      </c>
      <c r="U152" s="10" t="s">
        <v>939</v>
      </c>
      <c r="V152" s="6" t="s">
        <v>59</v>
      </c>
      <c r="W152" s="8">
        <v>1498817.13</v>
      </c>
      <c r="X152" s="6" t="s">
        <v>74</v>
      </c>
    </row>
    <row r="153" spans="1:25" s="6" customFormat="1" ht="248.4">
      <c r="A153" s="6" t="s">
        <v>39</v>
      </c>
      <c r="B153" s="7" t="s">
        <v>647</v>
      </c>
      <c r="C153" s="7" t="s">
        <v>192</v>
      </c>
      <c r="D153" s="6" t="s">
        <v>940</v>
      </c>
      <c r="E153" s="6" t="s">
        <v>941</v>
      </c>
      <c r="F153" s="6" t="s">
        <v>40</v>
      </c>
      <c r="G153" s="6" t="s">
        <v>55</v>
      </c>
      <c r="H153" s="6" t="s">
        <v>158</v>
      </c>
      <c r="I153" s="7" t="s">
        <v>615</v>
      </c>
      <c r="J153" s="7" t="s">
        <v>615</v>
      </c>
      <c r="K153" s="6">
        <v>1</v>
      </c>
      <c r="L153" s="6" t="s">
        <v>289</v>
      </c>
      <c r="M153" s="8">
        <v>7480</v>
      </c>
      <c r="N153" s="6" t="s">
        <v>942</v>
      </c>
      <c r="O153" s="24">
        <v>0.5</v>
      </c>
      <c r="P153" s="8">
        <v>7480</v>
      </c>
      <c r="Q153" s="6" t="s">
        <v>942</v>
      </c>
      <c r="R153" s="6" t="s">
        <v>291</v>
      </c>
      <c r="S153" s="6" t="s">
        <v>943</v>
      </c>
      <c r="T153" s="10" t="s">
        <v>944</v>
      </c>
      <c r="U153" s="10" t="s">
        <v>945</v>
      </c>
      <c r="V153" s="6" t="s">
        <v>59</v>
      </c>
      <c r="W153" s="8">
        <v>13112148</v>
      </c>
      <c r="X153" s="6" t="s">
        <v>58</v>
      </c>
    </row>
    <row r="154" spans="1:25" s="6" customFormat="1" ht="193.2">
      <c r="A154" s="6" t="s">
        <v>39</v>
      </c>
      <c r="B154" s="27" t="s">
        <v>647</v>
      </c>
      <c r="C154" s="27" t="s">
        <v>201</v>
      </c>
      <c r="D154" s="6" t="s">
        <v>3811</v>
      </c>
      <c r="E154" s="6" t="s">
        <v>4073</v>
      </c>
      <c r="F154" s="6" t="s">
        <v>40</v>
      </c>
      <c r="G154" s="6" t="s">
        <v>55</v>
      </c>
      <c r="H154" s="6" t="s">
        <v>158</v>
      </c>
      <c r="I154" s="7" t="s">
        <v>615</v>
      </c>
      <c r="J154" s="7" t="s">
        <v>615</v>
      </c>
      <c r="K154" s="6">
        <v>1</v>
      </c>
      <c r="L154" s="6" t="s">
        <v>289</v>
      </c>
      <c r="M154" s="31" t="s">
        <v>461</v>
      </c>
      <c r="N154" s="26" t="s">
        <v>461</v>
      </c>
      <c r="O154" s="24">
        <v>0.5</v>
      </c>
      <c r="P154" s="31" t="s">
        <v>461</v>
      </c>
      <c r="Q154" s="26" t="s">
        <v>461</v>
      </c>
      <c r="R154" s="6" t="s">
        <v>3812</v>
      </c>
      <c r="S154" s="26" t="s">
        <v>461</v>
      </c>
      <c r="T154" s="10" t="s">
        <v>4071</v>
      </c>
      <c r="U154" s="10" t="s">
        <v>3813</v>
      </c>
      <c r="V154" s="6" t="s">
        <v>59</v>
      </c>
      <c r="W154" s="31" t="s">
        <v>461</v>
      </c>
      <c r="X154" s="6" t="s">
        <v>74</v>
      </c>
      <c r="Y154" s="6" t="s">
        <v>4072</v>
      </c>
    </row>
    <row r="155" spans="1:25" s="6" customFormat="1" ht="207">
      <c r="A155" s="6" t="s">
        <v>39</v>
      </c>
      <c r="B155" s="7" t="s">
        <v>647</v>
      </c>
      <c r="C155" s="7" t="s">
        <v>285</v>
      </c>
      <c r="D155" s="6" t="s">
        <v>946</v>
      </c>
      <c r="E155" s="6" t="s">
        <v>947</v>
      </c>
      <c r="F155" s="6" t="s">
        <v>40</v>
      </c>
      <c r="G155" s="6" t="s">
        <v>55</v>
      </c>
      <c r="H155" s="6" t="s">
        <v>613</v>
      </c>
      <c r="I155" s="7" t="s">
        <v>948</v>
      </c>
      <c r="J155" s="7" t="s">
        <v>949</v>
      </c>
      <c r="K155" s="6">
        <v>54</v>
      </c>
      <c r="L155" s="6" t="s">
        <v>289</v>
      </c>
      <c r="M155" s="8">
        <v>265995</v>
      </c>
      <c r="N155" s="6" t="s">
        <v>950</v>
      </c>
      <c r="O155" s="24">
        <v>0.5</v>
      </c>
      <c r="P155" s="8">
        <v>265995</v>
      </c>
      <c r="Q155" s="6" t="s">
        <v>950</v>
      </c>
      <c r="R155" s="6" t="s">
        <v>862</v>
      </c>
      <c r="S155" s="6" t="s">
        <v>951</v>
      </c>
      <c r="T155" s="10" t="s">
        <v>952</v>
      </c>
      <c r="U155" s="10" t="s">
        <v>953</v>
      </c>
      <c r="V155" s="6" t="s">
        <v>59</v>
      </c>
      <c r="W155" s="8">
        <v>265995</v>
      </c>
      <c r="X155" s="6" t="s">
        <v>74</v>
      </c>
    </row>
    <row r="156" spans="1:25" s="43" customFormat="1" ht="289.8">
      <c r="A156" s="37" t="s">
        <v>39</v>
      </c>
      <c r="B156" s="37">
        <v>12</v>
      </c>
      <c r="C156" s="38" t="s">
        <v>295</v>
      </c>
      <c r="D156" s="37" t="s">
        <v>3367</v>
      </c>
      <c r="E156" s="37" t="s">
        <v>3368</v>
      </c>
      <c r="F156" s="37" t="s">
        <v>1568</v>
      </c>
      <c r="G156" s="37" t="s">
        <v>55</v>
      </c>
      <c r="H156" s="37" t="s">
        <v>158</v>
      </c>
      <c r="I156" s="38" t="s">
        <v>3220</v>
      </c>
      <c r="J156" s="38" t="s">
        <v>956</v>
      </c>
      <c r="K156" s="37" t="s">
        <v>1171</v>
      </c>
      <c r="L156" s="37" t="s">
        <v>1589</v>
      </c>
      <c r="M156" s="39">
        <v>955</v>
      </c>
      <c r="N156" s="37" t="s">
        <v>3369</v>
      </c>
      <c r="O156" s="40">
        <v>1</v>
      </c>
      <c r="P156" s="39">
        <v>955</v>
      </c>
      <c r="Q156" s="37" t="s">
        <v>3369</v>
      </c>
      <c r="R156" s="37" t="s">
        <v>3370</v>
      </c>
      <c r="S156" s="37" t="s">
        <v>3371</v>
      </c>
      <c r="T156" s="41" t="s">
        <v>3372</v>
      </c>
      <c r="U156" s="41" t="s">
        <v>3373</v>
      </c>
      <c r="V156" s="37" t="s">
        <v>59</v>
      </c>
      <c r="W156" s="39">
        <v>15511.24</v>
      </c>
      <c r="X156" s="37" t="s">
        <v>74</v>
      </c>
      <c r="Y156" s="37"/>
    </row>
    <row r="157" spans="1:25" s="42" customFormat="1" ht="409.6">
      <c r="A157" s="37" t="s">
        <v>39</v>
      </c>
      <c r="B157" s="38" t="s">
        <v>647</v>
      </c>
      <c r="C157" s="38" t="s">
        <v>305</v>
      </c>
      <c r="D157" s="37" t="s">
        <v>3374</v>
      </c>
      <c r="E157" s="37" t="s">
        <v>3375</v>
      </c>
      <c r="F157" s="37" t="s">
        <v>1278</v>
      </c>
      <c r="G157" s="37" t="s">
        <v>55</v>
      </c>
      <c r="H157" s="37" t="s">
        <v>158</v>
      </c>
      <c r="I157" s="38" t="s">
        <v>956</v>
      </c>
      <c r="J157" s="38" t="s">
        <v>1348</v>
      </c>
      <c r="K157" s="37">
        <v>37</v>
      </c>
      <c r="L157" s="37" t="s">
        <v>43</v>
      </c>
      <c r="M157" s="39">
        <v>54190.6</v>
      </c>
      <c r="N157" s="37" t="s">
        <v>3376</v>
      </c>
      <c r="O157" s="40">
        <v>1</v>
      </c>
      <c r="P157" s="39">
        <v>162571.79999999999</v>
      </c>
      <c r="Q157" s="37" t="s">
        <v>3377</v>
      </c>
      <c r="R157" s="37" t="s">
        <v>1509</v>
      </c>
      <c r="S157" s="37" t="s">
        <v>3378</v>
      </c>
      <c r="T157" s="41" t="s">
        <v>3379</v>
      </c>
      <c r="U157" s="41" t="s">
        <v>3380</v>
      </c>
      <c r="V157" s="37" t="s">
        <v>59</v>
      </c>
      <c r="W157" s="39">
        <v>162571.79999999999</v>
      </c>
      <c r="X157" s="37" t="s">
        <v>74</v>
      </c>
      <c r="Y157" s="37" t="s">
        <v>3381</v>
      </c>
    </row>
    <row r="158" spans="1:25" s="6" customFormat="1" ht="234.6">
      <c r="A158" s="6" t="s">
        <v>39</v>
      </c>
      <c r="B158" s="7" t="s">
        <v>647</v>
      </c>
      <c r="C158" s="7" t="s">
        <v>314</v>
      </c>
      <c r="D158" s="6" t="s">
        <v>954</v>
      </c>
      <c r="E158" s="6" t="s">
        <v>955</v>
      </c>
      <c r="F158" s="6" t="s">
        <v>40</v>
      </c>
      <c r="G158" s="6" t="s">
        <v>55</v>
      </c>
      <c r="H158" s="6" t="s">
        <v>137</v>
      </c>
      <c r="I158" s="7" t="s">
        <v>956</v>
      </c>
      <c r="J158" s="7" t="s">
        <v>956</v>
      </c>
      <c r="K158" s="6">
        <v>1</v>
      </c>
      <c r="L158" s="6" t="s">
        <v>289</v>
      </c>
      <c r="M158" s="8">
        <v>6000</v>
      </c>
      <c r="N158" s="6" t="s">
        <v>957</v>
      </c>
      <c r="O158" s="24">
        <v>0.5</v>
      </c>
      <c r="P158" s="8">
        <v>6000</v>
      </c>
      <c r="Q158" s="6" t="s">
        <v>957</v>
      </c>
      <c r="R158" s="6" t="s">
        <v>291</v>
      </c>
      <c r="S158" s="6" t="s">
        <v>943</v>
      </c>
      <c r="T158" s="10" t="s">
        <v>958</v>
      </c>
      <c r="U158" s="10" t="s">
        <v>945</v>
      </c>
      <c r="V158" s="6" t="s">
        <v>59</v>
      </c>
      <c r="W158" s="8">
        <v>4003933.81</v>
      </c>
      <c r="X158" s="6" t="s">
        <v>58</v>
      </c>
    </row>
    <row r="159" spans="1:25" s="6" customFormat="1" ht="207">
      <c r="A159" s="6" t="s">
        <v>39</v>
      </c>
      <c r="B159" s="27" t="s">
        <v>647</v>
      </c>
      <c r="C159" s="27" t="s">
        <v>323</v>
      </c>
      <c r="D159" s="6" t="s">
        <v>3382</v>
      </c>
      <c r="E159" s="6" t="s">
        <v>3383</v>
      </c>
      <c r="F159" s="6" t="s">
        <v>40</v>
      </c>
      <c r="G159" s="6" t="s">
        <v>55</v>
      </c>
      <c r="H159" s="6" t="s">
        <v>158</v>
      </c>
      <c r="I159" s="7" t="s">
        <v>956</v>
      </c>
      <c r="J159" s="7" t="s">
        <v>956</v>
      </c>
      <c r="K159" s="6" t="s">
        <v>1171</v>
      </c>
      <c r="L159" s="6" t="s">
        <v>43</v>
      </c>
      <c r="M159" s="31" t="s">
        <v>461</v>
      </c>
      <c r="N159" s="26" t="s">
        <v>461</v>
      </c>
      <c r="O159" s="24">
        <v>1</v>
      </c>
      <c r="P159" s="31" t="s">
        <v>461</v>
      </c>
      <c r="Q159" s="26" t="s">
        <v>461</v>
      </c>
      <c r="R159" s="6" t="s">
        <v>3384</v>
      </c>
      <c r="S159" s="6" t="s">
        <v>3385</v>
      </c>
      <c r="T159" s="10" t="s">
        <v>3386</v>
      </c>
      <c r="U159" s="10" t="s">
        <v>3387</v>
      </c>
      <c r="V159" s="6" t="s">
        <v>59</v>
      </c>
      <c r="W159" s="31" t="s">
        <v>461</v>
      </c>
      <c r="X159" s="6" t="s">
        <v>74</v>
      </c>
    </row>
    <row r="160" spans="1:25" s="6" customFormat="1" ht="289.8">
      <c r="A160" s="6" t="s">
        <v>39</v>
      </c>
      <c r="B160" s="7" t="s">
        <v>647</v>
      </c>
      <c r="C160" s="7" t="s">
        <v>330</v>
      </c>
      <c r="D160" s="6" t="s">
        <v>959</v>
      </c>
      <c r="E160" s="6" t="s">
        <v>960</v>
      </c>
      <c r="F160" s="6" t="s">
        <v>40</v>
      </c>
      <c r="G160" s="6" t="s">
        <v>55</v>
      </c>
      <c r="H160" s="6" t="s">
        <v>158</v>
      </c>
      <c r="I160" s="7" t="s">
        <v>956</v>
      </c>
      <c r="J160" s="7" t="s">
        <v>948</v>
      </c>
      <c r="K160" s="6">
        <v>1</v>
      </c>
      <c r="L160" s="6" t="s">
        <v>43</v>
      </c>
      <c r="M160" s="8">
        <v>2150</v>
      </c>
      <c r="N160" s="6" t="s">
        <v>961</v>
      </c>
      <c r="O160" s="24">
        <v>1</v>
      </c>
      <c r="P160" s="8">
        <v>2150</v>
      </c>
      <c r="Q160" s="6" t="s">
        <v>961</v>
      </c>
      <c r="R160" s="6" t="s">
        <v>291</v>
      </c>
      <c r="S160" s="6" t="s">
        <v>962</v>
      </c>
      <c r="T160" s="10" t="s">
        <v>963</v>
      </c>
      <c r="U160" s="10" t="s">
        <v>964</v>
      </c>
      <c r="V160" s="6" t="s">
        <v>59</v>
      </c>
      <c r="W160" s="8">
        <v>13112148</v>
      </c>
      <c r="X160" s="6" t="s">
        <v>74</v>
      </c>
    </row>
    <row r="161" spans="1:25" s="6" customFormat="1" ht="234.6">
      <c r="A161" s="6" t="s">
        <v>39</v>
      </c>
      <c r="B161" s="7" t="s">
        <v>647</v>
      </c>
      <c r="C161" s="7" t="s">
        <v>340</v>
      </c>
      <c r="D161" s="6" t="s">
        <v>965</v>
      </c>
      <c r="E161" s="6" t="s">
        <v>966</v>
      </c>
      <c r="F161" s="6" t="s">
        <v>40</v>
      </c>
      <c r="G161" s="6" t="s">
        <v>55</v>
      </c>
      <c r="H161" s="6" t="s">
        <v>859</v>
      </c>
      <c r="I161" s="7" t="s">
        <v>956</v>
      </c>
      <c r="J161" s="7" t="s">
        <v>948</v>
      </c>
      <c r="K161" s="6">
        <v>1</v>
      </c>
      <c r="L161" s="6" t="s">
        <v>289</v>
      </c>
      <c r="M161" s="8">
        <v>4900</v>
      </c>
      <c r="N161" s="6" t="s">
        <v>967</v>
      </c>
      <c r="O161" s="24">
        <v>1</v>
      </c>
      <c r="P161" s="8">
        <v>4900</v>
      </c>
      <c r="Q161" s="6" t="s">
        <v>967</v>
      </c>
      <c r="R161" s="6" t="s">
        <v>291</v>
      </c>
      <c r="S161" s="6" t="s">
        <v>943</v>
      </c>
      <c r="T161" s="10" t="s">
        <v>968</v>
      </c>
      <c r="U161" s="10" t="s">
        <v>945</v>
      </c>
      <c r="V161" s="6" t="s">
        <v>59</v>
      </c>
      <c r="W161" s="8">
        <v>3300000</v>
      </c>
      <c r="X161" s="6" t="s">
        <v>58</v>
      </c>
    </row>
    <row r="162" spans="1:25" s="6" customFormat="1" ht="193.2">
      <c r="A162" s="6" t="s">
        <v>39</v>
      </c>
      <c r="B162" s="7" t="s">
        <v>969</v>
      </c>
      <c r="C162" s="7" t="s">
        <v>80</v>
      </c>
      <c r="D162" s="6" t="s">
        <v>970</v>
      </c>
      <c r="E162" s="6" t="s">
        <v>971</v>
      </c>
      <c r="F162" s="6" t="s">
        <v>40</v>
      </c>
      <c r="G162" s="6" t="s">
        <v>55</v>
      </c>
      <c r="H162" s="6" t="s">
        <v>972</v>
      </c>
      <c r="I162" s="7" t="s">
        <v>973</v>
      </c>
      <c r="J162" s="7" t="s">
        <v>974</v>
      </c>
      <c r="K162" s="6">
        <v>40</v>
      </c>
      <c r="L162" s="6" t="s">
        <v>43</v>
      </c>
      <c r="M162" s="8">
        <v>18900</v>
      </c>
      <c r="N162" s="6" t="s">
        <v>975</v>
      </c>
      <c r="O162" s="24">
        <v>0.5</v>
      </c>
      <c r="P162" s="8">
        <v>18900</v>
      </c>
      <c r="Q162" s="6" t="s">
        <v>975</v>
      </c>
      <c r="R162" s="6" t="s">
        <v>976</v>
      </c>
      <c r="S162" s="6" t="s">
        <v>977</v>
      </c>
      <c r="T162" s="10" t="s">
        <v>978</v>
      </c>
      <c r="U162" s="10" t="s">
        <v>979</v>
      </c>
      <c r="V162" s="6" t="s">
        <v>59</v>
      </c>
      <c r="W162" s="8">
        <v>18900</v>
      </c>
      <c r="X162" s="6" t="s">
        <v>58</v>
      </c>
    </row>
    <row r="163" spans="1:25" s="6" customFormat="1" ht="220.8">
      <c r="A163" s="6" t="s">
        <v>39</v>
      </c>
      <c r="B163" s="7" t="s">
        <v>969</v>
      </c>
      <c r="C163" s="7" t="s">
        <v>93</v>
      </c>
      <c r="D163" s="6" t="s">
        <v>980</v>
      </c>
      <c r="E163" s="6" t="s">
        <v>981</v>
      </c>
      <c r="F163" s="6" t="s">
        <v>40</v>
      </c>
      <c r="G163" s="6" t="s">
        <v>982</v>
      </c>
      <c r="H163" s="6" t="s">
        <v>983</v>
      </c>
      <c r="I163" s="7" t="s">
        <v>973</v>
      </c>
      <c r="J163" s="7" t="s">
        <v>626</v>
      </c>
      <c r="K163" s="6">
        <v>5</v>
      </c>
      <c r="L163" s="6" t="s">
        <v>289</v>
      </c>
      <c r="M163" s="8">
        <v>130000</v>
      </c>
      <c r="N163" s="6" t="s">
        <v>984</v>
      </c>
      <c r="O163" s="24">
        <v>0.5</v>
      </c>
      <c r="P163" s="8">
        <v>130000</v>
      </c>
      <c r="Q163" s="6" t="s">
        <v>984</v>
      </c>
      <c r="R163" s="6" t="s">
        <v>196</v>
      </c>
      <c r="S163" s="6" t="s">
        <v>985</v>
      </c>
      <c r="T163" s="10" t="s">
        <v>986</v>
      </c>
      <c r="U163" s="10" t="s">
        <v>987</v>
      </c>
      <c r="V163" s="6">
        <v>20.7</v>
      </c>
      <c r="W163" s="8">
        <v>130000</v>
      </c>
      <c r="X163" s="6" t="s">
        <v>74</v>
      </c>
    </row>
    <row r="164" spans="1:25" s="6" customFormat="1" ht="234.6">
      <c r="A164" s="6" t="s">
        <v>39</v>
      </c>
      <c r="B164" s="7" t="s">
        <v>969</v>
      </c>
      <c r="C164" s="7" t="s">
        <v>104</v>
      </c>
      <c r="D164" s="6" t="s">
        <v>988</v>
      </c>
      <c r="E164" s="6" t="s">
        <v>989</v>
      </c>
      <c r="F164" s="6" t="s">
        <v>40</v>
      </c>
      <c r="G164" s="6" t="s">
        <v>55</v>
      </c>
      <c r="H164" s="6" t="s">
        <v>990</v>
      </c>
      <c r="I164" s="7" t="s">
        <v>973</v>
      </c>
      <c r="J164" s="7" t="s">
        <v>973</v>
      </c>
      <c r="K164" s="6">
        <v>1</v>
      </c>
      <c r="L164" s="6" t="s">
        <v>43</v>
      </c>
      <c r="M164" s="8">
        <v>2050</v>
      </c>
      <c r="N164" s="6" t="s">
        <v>991</v>
      </c>
      <c r="O164" s="24">
        <v>1</v>
      </c>
      <c r="P164" s="8">
        <v>2050</v>
      </c>
      <c r="Q164" s="6" t="s">
        <v>991</v>
      </c>
      <c r="R164" s="6" t="s">
        <v>992</v>
      </c>
      <c r="S164" s="6" t="s">
        <v>993</v>
      </c>
      <c r="T164" s="10" t="s">
        <v>994</v>
      </c>
      <c r="U164" s="10" t="s">
        <v>995</v>
      </c>
      <c r="V164" s="6" t="s">
        <v>59</v>
      </c>
      <c r="W164" s="8">
        <v>2050</v>
      </c>
      <c r="X164" s="6" t="s">
        <v>58</v>
      </c>
    </row>
    <row r="165" spans="1:25" s="6" customFormat="1" ht="358.8">
      <c r="A165" s="6" t="s">
        <v>39</v>
      </c>
      <c r="B165" s="7" t="s">
        <v>969</v>
      </c>
      <c r="C165" s="7" t="s">
        <v>113</v>
      </c>
      <c r="D165" s="6" t="s">
        <v>996</v>
      </c>
      <c r="E165" s="6" t="s">
        <v>997</v>
      </c>
      <c r="F165" s="6" t="s">
        <v>40</v>
      </c>
      <c r="G165" s="6" t="s">
        <v>55</v>
      </c>
      <c r="H165" s="6" t="s">
        <v>158</v>
      </c>
      <c r="I165" s="7" t="s">
        <v>973</v>
      </c>
      <c r="J165" s="7" t="s">
        <v>973</v>
      </c>
      <c r="K165" s="6">
        <v>1</v>
      </c>
      <c r="L165" s="6" t="s">
        <v>43</v>
      </c>
      <c r="M165" s="8">
        <v>12260</v>
      </c>
      <c r="N165" s="6" t="s">
        <v>998</v>
      </c>
      <c r="O165" s="24">
        <v>1</v>
      </c>
      <c r="P165" s="8">
        <v>12260</v>
      </c>
      <c r="Q165" s="6" t="s">
        <v>998</v>
      </c>
      <c r="R165" s="6" t="s">
        <v>999</v>
      </c>
      <c r="S165" s="6" t="s">
        <v>1000</v>
      </c>
      <c r="T165" s="10" t="s">
        <v>1001</v>
      </c>
      <c r="U165" s="10" t="s">
        <v>1002</v>
      </c>
      <c r="V165" s="6" t="s">
        <v>59</v>
      </c>
      <c r="W165" s="8">
        <v>415778</v>
      </c>
      <c r="X165" s="6" t="s">
        <v>74</v>
      </c>
    </row>
    <row r="166" spans="1:25" s="6" customFormat="1" ht="331.2">
      <c r="A166" s="6" t="s">
        <v>39</v>
      </c>
      <c r="B166" s="7" t="s">
        <v>969</v>
      </c>
      <c r="C166" s="7" t="s">
        <v>167</v>
      </c>
      <c r="D166" s="6" t="s">
        <v>1003</v>
      </c>
      <c r="E166" s="6" t="s">
        <v>1012</v>
      </c>
      <c r="F166" s="6" t="s">
        <v>40</v>
      </c>
      <c r="G166" s="6" t="s">
        <v>55</v>
      </c>
      <c r="H166" s="6" t="s">
        <v>158</v>
      </c>
      <c r="I166" s="7" t="s">
        <v>973</v>
      </c>
      <c r="J166" s="7" t="s">
        <v>973</v>
      </c>
      <c r="K166" s="6">
        <v>1</v>
      </c>
      <c r="L166" s="6" t="s">
        <v>43</v>
      </c>
      <c r="M166" s="25">
        <v>3550</v>
      </c>
      <c r="N166" s="6" t="s">
        <v>1004</v>
      </c>
      <c r="O166" s="24">
        <v>1</v>
      </c>
      <c r="P166" s="8">
        <v>3550</v>
      </c>
      <c r="Q166" s="6" t="s">
        <v>1004</v>
      </c>
      <c r="R166" s="6" t="s">
        <v>291</v>
      </c>
      <c r="S166" s="6" t="s">
        <v>943</v>
      </c>
      <c r="T166" s="10" t="s">
        <v>1005</v>
      </c>
      <c r="U166" s="10" t="s">
        <v>1006</v>
      </c>
      <c r="V166" s="6" t="s">
        <v>59</v>
      </c>
      <c r="W166" s="8">
        <v>2482705</v>
      </c>
      <c r="X166" s="6" t="s">
        <v>58</v>
      </c>
    </row>
    <row r="167" spans="1:25" s="6" customFormat="1" ht="345">
      <c r="A167" s="6" t="s">
        <v>39</v>
      </c>
      <c r="B167" s="7" t="s">
        <v>969</v>
      </c>
      <c r="C167" s="7" t="s">
        <v>176</v>
      </c>
      <c r="D167" s="6" t="s">
        <v>1007</v>
      </c>
      <c r="E167" s="6" t="s">
        <v>1008</v>
      </c>
      <c r="F167" s="6" t="s">
        <v>40</v>
      </c>
      <c r="G167" s="6" t="s">
        <v>55</v>
      </c>
      <c r="H167" s="6" t="s">
        <v>158</v>
      </c>
      <c r="I167" s="7" t="s">
        <v>973</v>
      </c>
      <c r="J167" s="7" t="s">
        <v>973</v>
      </c>
      <c r="K167" s="6">
        <v>1</v>
      </c>
      <c r="L167" s="6" t="s">
        <v>43</v>
      </c>
      <c r="M167" s="8">
        <v>2920</v>
      </c>
      <c r="N167" s="6" t="s">
        <v>1009</v>
      </c>
      <c r="O167" s="24">
        <v>1</v>
      </c>
      <c r="P167" s="8">
        <v>2920</v>
      </c>
      <c r="Q167" s="6" t="s">
        <v>1009</v>
      </c>
      <c r="R167" s="6" t="s">
        <v>291</v>
      </c>
      <c r="S167" s="6" t="s">
        <v>943</v>
      </c>
      <c r="T167" s="10" t="s">
        <v>1010</v>
      </c>
      <c r="U167" s="10" t="s">
        <v>1011</v>
      </c>
      <c r="V167" s="6" t="s">
        <v>59</v>
      </c>
      <c r="W167" s="8">
        <v>104355.51</v>
      </c>
      <c r="X167" s="6" t="s">
        <v>58</v>
      </c>
    </row>
    <row r="168" spans="1:25" s="6" customFormat="1" ht="409.6">
      <c r="A168" s="6" t="s">
        <v>39</v>
      </c>
      <c r="B168" s="7" t="s">
        <v>969</v>
      </c>
      <c r="C168" s="7" t="s">
        <v>183</v>
      </c>
      <c r="D168" s="6" t="s">
        <v>1013</v>
      </c>
      <c r="E168" s="6" t="s">
        <v>1014</v>
      </c>
      <c r="F168" s="6" t="s">
        <v>40</v>
      </c>
      <c r="G168" s="6" t="s">
        <v>55</v>
      </c>
      <c r="H168" s="6" t="s">
        <v>1015</v>
      </c>
      <c r="I168" s="7" t="s">
        <v>973</v>
      </c>
      <c r="J168" s="7" t="s">
        <v>928</v>
      </c>
      <c r="K168" s="6">
        <v>6</v>
      </c>
      <c r="L168" s="6" t="s">
        <v>43</v>
      </c>
      <c r="M168" s="8">
        <v>14869</v>
      </c>
      <c r="N168" s="6" t="s">
        <v>1016</v>
      </c>
      <c r="O168" s="24">
        <v>1</v>
      </c>
      <c r="P168" s="8">
        <v>14869</v>
      </c>
      <c r="Q168" s="6" t="s">
        <v>1016</v>
      </c>
      <c r="R168" s="6" t="s">
        <v>1017</v>
      </c>
      <c r="S168" s="6" t="s">
        <v>1018</v>
      </c>
      <c r="T168" s="10" t="s">
        <v>1019</v>
      </c>
      <c r="U168" s="10" t="s">
        <v>1020</v>
      </c>
      <c r="V168" s="6" t="s">
        <v>59</v>
      </c>
      <c r="W168" s="8">
        <v>14869</v>
      </c>
      <c r="X168" s="6" t="s">
        <v>74</v>
      </c>
    </row>
    <row r="169" spans="1:25" s="6" customFormat="1" ht="248.4">
      <c r="A169" s="6" t="s">
        <v>39</v>
      </c>
      <c r="B169" s="7" t="s">
        <v>969</v>
      </c>
      <c r="C169" s="7" t="s">
        <v>114</v>
      </c>
      <c r="D169" s="6" t="s">
        <v>1021</v>
      </c>
      <c r="E169" s="6" t="s">
        <v>1022</v>
      </c>
      <c r="F169" s="6" t="s">
        <v>40</v>
      </c>
      <c r="G169" s="6" t="s">
        <v>55</v>
      </c>
      <c r="H169" s="6" t="s">
        <v>1023</v>
      </c>
      <c r="I169" s="7" t="s">
        <v>1024</v>
      </c>
      <c r="J169" s="7" t="s">
        <v>860</v>
      </c>
      <c r="K169" s="6">
        <v>2</v>
      </c>
      <c r="L169" s="6" t="s">
        <v>43</v>
      </c>
      <c r="M169" s="8">
        <v>10900</v>
      </c>
      <c r="N169" s="6" t="s">
        <v>1025</v>
      </c>
      <c r="O169" s="24">
        <v>1</v>
      </c>
      <c r="P169" s="8">
        <v>10900</v>
      </c>
      <c r="Q169" s="6" t="s">
        <v>1025</v>
      </c>
      <c r="R169" s="6" t="s">
        <v>1026</v>
      </c>
      <c r="S169" s="6" t="s">
        <v>1027</v>
      </c>
      <c r="T169" s="10" t="s">
        <v>1028</v>
      </c>
      <c r="U169" s="10" t="s">
        <v>1029</v>
      </c>
      <c r="V169" s="6" t="s">
        <v>59</v>
      </c>
      <c r="W169" s="8">
        <v>10900</v>
      </c>
      <c r="X169" s="6" t="s">
        <v>58</v>
      </c>
    </row>
    <row r="170" spans="1:25" s="6" customFormat="1" ht="248.4">
      <c r="A170" s="6" t="s">
        <v>39</v>
      </c>
      <c r="B170" s="7" t="s">
        <v>969</v>
      </c>
      <c r="C170" s="7" t="s">
        <v>125</v>
      </c>
      <c r="D170" s="6" t="s">
        <v>1030</v>
      </c>
      <c r="E170" s="6" t="s">
        <v>1031</v>
      </c>
      <c r="F170" s="6" t="s">
        <v>40</v>
      </c>
      <c r="G170" s="6" t="s">
        <v>55</v>
      </c>
      <c r="H170" s="6" t="s">
        <v>1015</v>
      </c>
      <c r="I170" s="7" t="s">
        <v>860</v>
      </c>
      <c r="J170" s="7" t="s">
        <v>860</v>
      </c>
      <c r="K170" s="6">
        <v>1</v>
      </c>
      <c r="L170" s="6" t="s">
        <v>43</v>
      </c>
      <c r="M170" s="8">
        <v>1500</v>
      </c>
      <c r="N170" s="6" t="s">
        <v>1032</v>
      </c>
      <c r="O170" s="24">
        <v>1</v>
      </c>
      <c r="P170" s="8">
        <v>1500</v>
      </c>
      <c r="Q170" s="6" t="s">
        <v>1032</v>
      </c>
      <c r="R170" s="6" t="s">
        <v>291</v>
      </c>
      <c r="S170" s="6" t="s">
        <v>943</v>
      </c>
      <c r="T170" s="10" t="s">
        <v>1033</v>
      </c>
      <c r="U170" s="10" t="s">
        <v>1034</v>
      </c>
      <c r="V170" s="6" t="s">
        <v>59</v>
      </c>
      <c r="W170" s="8">
        <v>3578679</v>
      </c>
      <c r="X170" s="6" t="s">
        <v>58</v>
      </c>
    </row>
    <row r="171" spans="1:25" s="43" customFormat="1" ht="193.2">
      <c r="A171" s="37" t="s">
        <v>39</v>
      </c>
      <c r="B171" s="37">
        <v>13</v>
      </c>
      <c r="C171" s="38" t="s">
        <v>134</v>
      </c>
      <c r="D171" s="37" t="s">
        <v>3388</v>
      </c>
      <c r="E171" s="37" t="s">
        <v>3389</v>
      </c>
      <c r="F171" s="37" t="s">
        <v>1568</v>
      </c>
      <c r="G171" s="37" t="s">
        <v>55</v>
      </c>
      <c r="H171" s="37" t="s">
        <v>158</v>
      </c>
      <c r="I171" s="38" t="s">
        <v>1024</v>
      </c>
      <c r="J171" s="38" t="s">
        <v>1024</v>
      </c>
      <c r="K171" s="37" t="s">
        <v>1171</v>
      </c>
      <c r="L171" s="37" t="s">
        <v>1589</v>
      </c>
      <c r="M171" s="39">
        <v>2980</v>
      </c>
      <c r="N171" s="37" t="s">
        <v>3390</v>
      </c>
      <c r="O171" s="40">
        <v>1</v>
      </c>
      <c r="P171" s="39">
        <v>2980</v>
      </c>
      <c r="Q171" s="37" t="s">
        <v>3390</v>
      </c>
      <c r="R171" s="37" t="s">
        <v>3391</v>
      </c>
      <c r="S171" s="37" t="s">
        <v>3392</v>
      </c>
      <c r="T171" s="41" t="s">
        <v>3393</v>
      </c>
      <c r="U171" s="41" t="s">
        <v>3394</v>
      </c>
      <c r="V171" s="37" t="s">
        <v>59</v>
      </c>
      <c r="W171" s="39">
        <v>1853226.82</v>
      </c>
      <c r="X171" s="37" t="s">
        <v>74</v>
      </c>
      <c r="Y171" s="37"/>
    </row>
    <row r="172" spans="1:25" s="6" customFormat="1" ht="193.2">
      <c r="A172" s="6" t="s">
        <v>39</v>
      </c>
      <c r="B172" s="7" t="s">
        <v>969</v>
      </c>
      <c r="C172" s="7" t="s">
        <v>191</v>
      </c>
      <c r="D172" s="6" t="s">
        <v>1035</v>
      </c>
      <c r="E172" s="6" t="s">
        <v>1036</v>
      </c>
      <c r="F172" s="6" t="s">
        <v>40</v>
      </c>
      <c r="G172" s="6" t="s">
        <v>55</v>
      </c>
      <c r="H172" s="6" t="s">
        <v>1037</v>
      </c>
      <c r="I172" s="7" t="s">
        <v>1024</v>
      </c>
      <c r="J172" s="7" t="s">
        <v>234</v>
      </c>
      <c r="K172" s="6">
        <v>2</v>
      </c>
      <c r="L172" s="6" t="s">
        <v>43</v>
      </c>
      <c r="M172" s="8">
        <v>5880</v>
      </c>
      <c r="N172" s="6" t="s">
        <v>1038</v>
      </c>
      <c r="O172" s="24">
        <v>1</v>
      </c>
      <c r="P172" s="8">
        <v>5880</v>
      </c>
      <c r="Q172" s="6" t="s">
        <v>1038</v>
      </c>
      <c r="R172" s="6" t="s">
        <v>1039</v>
      </c>
      <c r="S172" s="6" t="s">
        <v>1040</v>
      </c>
      <c r="T172" s="10" t="s">
        <v>1041</v>
      </c>
      <c r="U172" s="10" t="s">
        <v>1042</v>
      </c>
      <c r="V172" s="6" t="s">
        <v>59</v>
      </c>
      <c r="W172" s="8">
        <v>5880</v>
      </c>
      <c r="X172" s="6" t="s">
        <v>58</v>
      </c>
    </row>
    <row r="173" spans="1:25" s="6" customFormat="1" ht="289.8">
      <c r="A173" s="6" t="s">
        <v>39</v>
      </c>
      <c r="B173" s="7" t="s">
        <v>969</v>
      </c>
      <c r="C173" s="7" t="s">
        <v>273</v>
      </c>
      <c r="D173" s="6" t="s">
        <v>1043</v>
      </c>
      <c r="E173" s="6" t="s">
        <v>1050</v>
      </c>
      <c r="F173" s="6" t="s">
        <v>40</v>
      </c>
      <c r="G173" s="6" t="s">
        <v>55</v>
      </c>
      <c r="H173" s="6" t="s">
        <v>158</v>
      </c>
      <c r="I173" s="7" t="s">
        <v>860</v>
      </c>
      <c r="J173" s="7" t="s">
        <v>1044</v>
      </c>
      <c r="K173" s="6">
        <v>11</v>
      </c>
      <c r="L173" s="6" t="s">
        <v>43</v>
      </c>
      <c r="M173" s="8">
        <v>18000</v>
      </c>
      <c r="N173" s="6" t="s">
        <v>1045</v>
      </c>
      <c r="O173" s="24">
        <v>1</v>
      </c>
      <c r="P173" s="8">
        <v>18000</v>
      </c>
      <c r="Q173" s="6" t="s">
        <v>1045</v>
      </c>
      <c r="R173" s="6" t="s">
        <v>1046</v>
      </c>
      <c r="S173" s="6" t="s">
        <v>1047</v>
      </c>
      <c r="T173" s="10" t="s">
        <v>1048</v>
      </c>
      <c r="U173" s="10" t="s">
        <v>1049</v>
      </c>
      <c r="V173" s="6" t="s">
        <v>59</v>
      </c>
      <c r="W173" s="8">
        <v>18000</v>
      </c>
      <c r="X173" s="6" t="s">
        <v>58</v>
      </c>
    </row>
    <row r="174" spans="1:25" s="43" customFormat="1" ht="303.60000000000002">
      <c r="A174" s="37" t="s">
        <v>39</v>
      </c>
      <c r="B174" s="37">
        <v>13</v>
      </c>
      <c r="C174" s="38" t="s">
        <v>192</v>
      </c>
      <c r="D174" s="37" t="s">
        <v>3395</v>
      </c>
      <c r="E174" s="37" t="s">
        <v>3396</v>
      </c>
      <c r="F174" s="37" t="s">
        <v>1568</v>
      </c>
      <c r="G174" s="37" t="s">
        <v>55</v>
      </c>
      <c r="H174" s="37" t="s">
        <v>158</v>
      </c>
      <c r="I174" s="38" t="s">
        <v>626</v>
      </c>
      <c r="J174" s="38" t="s">
        <v>1083</v>
      </c>
      <c r="K174" s="37">
        <v>4</v>
      </c>
      <c r="L174" s="37" t="s">
        <v>1589</v>
      </c>
      <c r="M174" s="39">
        <v>13900</v>
      </c>
      <c r="N174" s="37" t="s">
        <v>3397</v>
      </c>
      <c r="O174" s="40">
        <v>1</v>
      </c>
      <c r="P174" s="39">
        <v>13900</v>
      </c>
      <c r="Q174" s="37" t="s">
        <v>3397</v>
      </c>
      <c r="R174" s="37" t="s">
        <v>2157</v>
      </c>
      <c r="S174" s="37" t="s">
        <v>3398</v>
      </c>
      <c r="T174" s="41" t="s">
        <v>3399</v>
      </c>
      <c r="U174" s="41" t="s">
        <v>3400</v>
      </c>
      <c r="V174" s="37" t="s">
        <v>59</v>
      </c>
      <c r="W174" s="39">
        <v>2276319.2999999998</v>
      </c>
      <c r="X174" s="37" t="s">
        <v>58</v>
      </c>
      <c r="Y174" s="37"/>
    </row>
    <row r="175" spans="1:25" s="6" customFormat="1" ht="207">
      <c r="A175" s="6" t="s">
        <v>39</v>
      </c>
      <c r="B175" s="7" t="s">
        <v>969</v>
      </c>
      <c r="C175" s="7" t="s">
        <v>201</v>
      </c>
      <c r="D175" s="6" t="s">
        <v>1051</v>
      </c>
      <c r="E175" s="6" t="s">
        <v>1052</v>
      </c>
      <c r="F175" s="6" t="s">
        <v>40</v>
      </c>
      <c r="G175" s="6" t="s">
        <v>55</v>
      </c>
      <c r="H175" s="6" t="s">
        <v>1053</v>
      </c>
      <c r="I175" s="7" t="s">
        <v>1024</v>
      </c>
      <c r="J175" s="7" t="s">
        <v>626</v>
      </c>
      <c r="K175" s="6">
        <v>4</v>
      </c>
      <c r="L175" s="6" t="s">
        <v>43</v>
      </c>
      <c r="M175" s="8">
        <v>6600</v>
      </c>
      <c r="N175" s="6" t="s">
        <v>1054</v>
      </c>
      <c r="O175" s="24">
        <v>1</v>
      </c>
      <c r="P175" s="8">
        <v>6600</v>
      </c>
      <c r="Q175" s="6" t="s">
        <v>1054</v>
      </c>
      <c r="R175" s="6" t="s">
        <v>1055</v>
      </c>
      <c r="S175" s="6" t="s">
        <v>1056</v>
      </c>
      <c r="T175" s="10" t="s">
        <v>1057</v>
      </c>
      <c r="U175" s="10" t="s">
        <v>1058</v>
      </c>
      <c r="V175" s="6" t="s">
        <v>59</v>
      </c>
      <c r="W175" s="8">
        <v>6600</v>
      </c>
      <c r="X175" s="6" t="s">
        <v>74</v>
      </c>
    </row>
    <row r="176" spans="1:25" s="6" customFormat="1" ht="289.8">
      <c r="A176" s="6" t="s">
        <v>39</v>
      </c>
      <c r="B176" s="7" t="s">
        <v>969</v>
      </c>
      <c r="C176" s="7" t="s">
        <v>285</v>
      </c>
      <c r="D176" s="6" t="s">
        <v>1059</v>
      </c>
      <c r="E176" s="6" t="s">
        <v>1060</v>
      </c>
      <c r="F176" s="6" t="s">
        <v>40</v>
      </c>
      <c r="G176" s="6" t="s">
        <v>1059</v>
      </c>
      <c r="H176" s="6" t="s">
        <v>1061</v>
      </c>
      <c r="I176" s="7" t="s">
        <v>626</v>
      </c>
      <c r="J176" s="7" t="s">
        <v>1062</v>
      </c>
      <c r="K176" s="6">
        <v>5</v>
      </c>
      <c r="L176" s="6" t="s">
        <v>43</v>
      </c>
      <c r="M176" s="8">
        <v>24000</v>
      </c>
      <c r="N176" s="6" t="s">
        <v>1063</v>
      </c>
      <c r="O176" s="24">
        <v>1</v>
      </c>
      <c r="P176" s="8">
        <v>24000</v>
      </c>
      <c r="Q176" s="6" t="s">
        <v>1063</v>
      </c>
      <c r="R176" s="6" t="s">
        <v>257</v>
      </c>
      <c r="S176" s="6" t="s">
        <v>1064</v>
      </c>
      <c r="T176" s="10" t="s">
        <v>1065</v>
      </c>
      <c r="U176" s="10" t="s">
        <v>1066</v>
      </c>
      <c r="V176" s="6">
        <v>4.0999999999999996</v>
      </c>
      <c r="W176" s="8">
        <v>282870911.51999998</v>
      </c>
      <c r="X176" s="6" t="s">
        <v>58</v>
      </c>
    </row>
    <row r="177" spans="1:25" s="6" customFormat="1" ht="220.8">
      <c r="A177" s="6" t="s">
        <v>39</v>
      </c>
      <c r="B177" s="7" t="s">
        <v>969</v>
      </c>
      <c r="C177" s="7" t="s">
        <v>295</v>
      </c>
      <c r="D177" s="6" t="s">
        <v>1067</v>
      </c>
      <c r="E177" s="6" t="s">
        <v>1068</v>
      </c>
      <c r="F177" s="6" t="s">
        <v>40</v>
      </c>
      <c r="G177" s="6" t="s">
        <v>55</v>
      </c>
      <c r="H177" s="6" t="s">
        <v>1069</v>
      </c>
      <c r="I177" s="7" t="s">
        <v>626</v>
      </c>
      <c r="J177" s="7" t="s">
        <v>626</v>
      </c>
      <c r="K177" s="6">
        <v>1</v>
      </c>
      <c r="L177" s="6" t="s">
        <v>43</v>
      </c>
      <c r="M177" s="8">
        <v>3800</v>
      </c>
      <c r="N177" s="6" t="s">
        <v>1070</v>
      </c>
      <c r="O177" s="24">
        <v>1</v>
      </c>
      <c r="P177" s="8">
        <v>3800</v>
      </c>
      <c r="Q177" s="6" t="s">
        <v>1070</v>
      </c>
      <c r="R177" s="6" t="s">
        <v>291</v>
      </c>
      <c r="S177" s="6" t="s">
        <v>943</v>
      </c>
      <c r="T177" s="10" t="s">
        <v>1033</v>
      </c>
      <c r="U177" s="10" t="s">
        <v>1071</v>
      </c>
      <c r="V177" s="6" t="s">
        <v>59</v>
      </c>
      <c r="W177" s="8">
        <v>219792.79</v>
      </c>
      <c r="X177" s="6" t="s">
        <v>58</v>
      </c>
    </row>
    <row r="178" spans="1:25" s="6" customFormat="1" ht="409.6">
      <c r="A178" s="6" t="s">
        <v>39</v>
      </c>
      <c r="B178" s="7" t="s">
        <v>969</v>
      </c>
      <c r="C178" s="7" t="s">
        <v>305</v>
      </c>
      <c r="D178" s="6" t="s">
        <v>1072</v>
      </c>
      <c r="E178" s="6" t="s">
        <v>1073</v>
      </c>
      <c r="F178" s="6" t="s">
        <v>40</v>
      </c>
      <c r="G178" s="6" t="s">
        <v>55</v>
      </c>
      <c r="H178" s="6" t="s">
        <v>1074</v>
      </c>
      <c r="I178" s="7" t="s">
        <v>928</v>
      </c>
      <c r="J178" s="7" t="s">
        <v>1044</v>
      </c>
      <c r="K178" s="6">
        <v>8</v>
      </c>
      <c r="L178" s="6" t="s">
        <v>43</v>
      </c>
      <c r="M178" s="8">
        <v>22900</v>
      </c>
      <c r="N178" s="6" t="s">
        <v>1075</v>
      </c>
      <c r="O178" s="24">
        <v>1</v>
      </c>
      <c r="P178" s="8">
        <v>22900</v>
      </c>
      <c r="Q178" s="6" t="s">
        <v>1075</v>
      </c>
      <c r="R178" s="6" t="s">
        <v>1076</v>
      </c>
      <c r="S178" s="6" t="s">
        <v>1077</v>
      </c>
      <c r="T178" s="10" t="s">
        <v>1078</v>
      </c>
      <c r="U178" s="10" t="s">
        <v>1079</v>
      </c>
      <c r="V178" s="6" t="s">
        <v>59</v>
      </c>
      <c r="W178" s="8">
        <v>22900</v>
      </c>
      <c r="X178" s="6" t="s">
        <v>58</v>
      </c>
    </row>
    <row r="179" spans="1:25" s="42" customFormat="1" ht="234.6">
      <c r="A179" s="37" t="s">
        <v>39</v>
      </c>
      <c r="B179" s="38" t="s">
        <v>969</v>
      </c>
      <c r="C179" s="38" t="s">
        <v>314</v>
      </c>
      <c r="D179" s="37" t="s">
        <v>3401</v>
      </c>
      <c r="E179" s="37" t="s">
        <v>3402</v>
      </c>
      <c r="F179" s="37" t="s">
        <v>1278</v>
      </c>
      <c r="G179" s="37" t="s">
        <v>55</v>
      </c>
      <c r="H179" s="37" t="s">
        <v>158</v>
      </c>
      <c r="I179" s="38" t="s">
        <v>626</v>
      </c>
      <c r="J179" s="38" t="s">
        <v>1044</v>
      </c>
      <c r="K179" s="37">
        <v>9</v>
      </c>
      <c r="L179" s="37" t="s">
        <v>43</v>
      </c>
      <c r="M179" s="39">
        <v>75263.33</v>
      </c>
      <c r="N179" s="37" t="s">
        <v>3403</v>
      </c>
      <c r="O179" s="40">
        <v>1</v>
      </c>
      <c r="P179" s="39">
        <v>75263.33</v>
      </c>
      <c r="Q179" s="37" t="s">
        <v>3403</v>
      </c>
      <c r="R179" s="37" t="s">
        <v>3404</v>
      </c>
      <c r="S179" s="37" t="s">
        <v>3405</v>
      </c>
      <c r="T179" s="41" t="s">
        <v>3406</v>
      </c>
      <c r="U179" s="41" t="s">
        <v>3407</v>
      </c>
      <c r="V179" s="37" t="s">
        <v>59</v>
      </c>
      <c r="W179" s="39">
        <v>113249.1</v>
      </c>
      <c r="X179" s="37" t="s">
        <v>74</v>
      </c>
      <c r="Y179" s="37"/>
    </row>
    <row r="180" spans="1:25" s="6" customFormat="1" ht="409.6">
      <c r="A180" s="6" t="s">
        <v>39</v>
      </c>
      <c r="B180" s="7" t="s">
        <v>969</v>
      </c>
      <c r="C180" s="7" t="s">
        <v>323</v>
      </c>
      <c r="D180" s="6" t="s">
        <v>1080</v>
      </c>
      <c r="E180" s="6" t="s">
        <v>1081</v>
      </c>
      <c r="F180" s="6" t="s">
        <v>40</v>
      </c>
      <c r="G180" s="6" t="s">
        <v>47</v>
      </c>
      <c r="H180" s="6" t="s">
        <v>1082</v>
      </c>
      <c r="I180" s="7" t="s">
        <v>928</v>
      </c>
      <c r="J180" s="7" t="s">
        <v>1083</v>
      </c>
      <c r="K180" s="6">
        <v>3</v>
      </c>
      <c r="L180" s="6" t="s">
        <v>43</v>
      </c>
      <c r="M180" s="8">
        <v>20515.349999999999</v>
      </c>
      <c r="N180" s="6" t="s">
        <v>1084</v>
      </c>
      <c r="O180" s="24">
        <v>1</v>
      </c>
      <c r="P180" s="8">
        <v>20515.349999999999</v>
      </c>
      <c r="Q180" s="6" t="s">
        <v>1084</v>
      </c>
      <c r="R180" s="6" t="s">
        <v>761</v>
      </c>
      <c r="S180" s="6" t="s">
        <v>1085</v>
      </c>
      <c r="T180" s="10" t="s">
        <v>1086</v>
      </c>
      <c r="U180" s="10" t="s">
        <v>1087</v>
      </c>
      <c r="V180" s="6">
        <v>6.8</v>
      </c>
      <c r="W180" s="6" t="s">
        <v>1084</v>
      </c>
      <c r="X180" s="6" t="s">
        <v>74</v>
      </c>
    </row>
    <row r="181" spans="1:25" s="6" customFormat="1" ht="220.8">
      <c r="A181" s="6" t="s">
        <v>39</v>
      </c>
      <c r="B181" s="7" t="s">
        <v>969</v>
      </c>
      <c r="C181" s="7" t="s">
        <v>330</v>
      </c>
      <c r="D181" s="6" t="s">
        <v>1088</v>
      </c>
      <c r="E181" s="6" t="s">
        <v>1089</v>
      </c>
      <c r="F181" s="6" t="s">
        <v>40</v>
      </c>
      <c r="G181" s="6" t="s">
        <v>55</v>
      </c>
      <c r="H181" s="6" t="s">
        <v>325</v>
      </c>
      <c r="I181" s="7" t="s">
        <v>626</v>
      </c>
      <c r="J181" s="7" t="s">
        <v>1083</v>
      </c>
      <c r="K181" s="6">
        <v>4</v>
      </c>
      <c r="L181" s="6" t="s">
        <v>43</v>
      </c>
      <c r="M181" s="8">
        <v>12900</v>
      </c>
      <c r="N181" s="6" t="s">
        <v>1090</v>
      </c>
      <c r="O181" s="24">
        <v>1</v>
      </c>
      <c r="P181" s="8">
        <v>12900</v>
      </c>
      <c r="Q181" s="6" t="s">
        <v>1090</v>
      </c>
      <c r="R181" s="6" t="s">
        <v>1091</v>
      </c>
      <c r="S181" s="6" t="s">
        <v>1092</v>
      </c>
      <c r="T181" s="10" t="s">
        <v>1093</v>
      </c>
      <c r="U181" s="10" t="s">
        <v>1094</v>
      </c>
      <c r="V181" s="6" t="s">
        <v>59</v>
      </c>
      <c r="W181" s="8">
        <v>12900</v>
      </c>
      <c r="X181" s="6" t="s">
        <v>74</v>
      </c>
    </row>
    <row r="182" spans="1:25" s="6" customFormat="1" ht="220.8">
      <c r="A182" s="6" t="s">
        <v>39</v>
      </c>
      <c r="B182" s="7" t="s">
        <v>969</v>
      </c>
      <c r="C182" s="7" t="s">
        <v>340</v>
      </c>
      <c r="D182" s="6" t="s">
        <v>1095</v>
      </c>
      <c r="E182" s="6" t="s">
        <v>1100</v>
      </c>
      <c r="F182" s="6" t="s">
        <v>40</v>
      </c>
      <c r="G182" s="6" t="s">
        <v>55</v>
      </c>
      <c r="H182" s="6" t="s">
        <v>859</v>
      </c>
      <c r="I182" s="7" t="s">
        <v>1083</v>
      </c>
      <c r="J182" s="7" t="s">
        <v>1083</v>
      </c>
      <c r="K182" s="6">
        <v>1</v>
      </c>
      <c r="L182" s="6" t="s">
        <v>43</v>
      </c>
      <c r="M182" s="8">
        <v>4900</v>
      </c>
      <c r="N182" s="6" t="s">
        <v>1096</v>
      </c>
      <c r="O182" s="24">
        <v>1</v>
      </c>
      <c r="P182" s="8">
        <v>4900</v>
      </c>
      <c r="Q182" s="6" t="s">
        <v>1096</v>
      </c>
      <c r="R182" s="6" t="s">
        <v>291</v>
      </c>
      <c r="S182" s="6" t="s">
        <v>943</v>
      </c>
      <c r="T182" s="10" t="s">
        <v>1033</v>
      </c>
      <c r="U182" s="10" t="s">
        <v>1097</v>
      </c>
      <c r="V182" s="6" t="s">
        <v>59</v>
      </c>
      <c r="W182" s="8">
        <v>3161732</v>
      </c>
      <c r="X182" s="6" t="s">
        <v>58</v>
      </c>
    </row>
    <row r="183" spans="1:25" s="6" customFormat="1" ht="220.8">
      <c r="A183" s="6" t="s">
        <v>39</v>
      </c>
      <c r="B183" s="7" t="s">
        <v>969</v>
      </c>
      <c r="C183" s="7" t="s">
        <v>348</v>
      </c>
      <c r="D183" s="6" t="s">
        <v>1098</v>
      </c>
      <c r="E183" s="6" t="s">
        <v>1099</v>
      </c>
      <c r="F183" s="6" t="s">
        <v>40</v>
      </c>
      <c r="G183" s="6" t="s">
        <v>55</v>
      </c>
      <c r="H183" s="6" t="s">
        <v>137</v>
      </c>
      <c r="I183" s="7" t="s">
        <v>1083</v>
      </c>
      <c r="J183" s="7" t="s">
        <v>1083</v>
      </c>
      <c r="K183" s="6">
        <v>1</v>
      </c>
      <c r="L183" s="6" t="s">
        <v>43</v>
      </c>
      <c r="M183" s="8">
        <v>1180</v>
      </c>
      <c r="N183" s="6" t="s">
        <v>1101</v>
      </c>
      <c r="O183" s="24">
        <v>1</v>
      </c>
      <c r="P183" s="8">
        <v>1180</v>
      </c>
      <c r="Q183" s="6" t="s">
        <v>1101</v>
      </c>
      <c r="R183" s="6" t="s">
        <v>291</v>
      </c>
      <c r="S183" s="6" t="s">
        <v>943</v>
      </c>
      <c r="T183" s="10" t="s">
        <v>1033</v>
      </c>
      <c r="U183" s="10" t="s">
        <v>1102</v>
      </c>
      <c r="V183" s="6" t="s">
        <v>59</v>
      </c>
      <c r="W183" s="8">
        <v>349574.02</v>
      </c>
      <c r="X183" s="6" t="s">
        <v>74</v>
      </c>
    </row>
    <row r="184" spans="1:25" s="6" customFormat="1" ht="220.8">
      <c r="A184" s="6" t="s">
        <v>39</v>
      </c>
      <c r="B184" s="7" t="s">
        <v>969</v>
      </c>
      <c r="C184" s="7" t="s">
        <v>358</v>
      </c>
      <c r="D184" s="6" t="s">
        <v>1103</v>
      </c>
      <c r="E184" s="6" t="s">
        <v>1104</v>
      </c>
      <c r="F184" s="6" t="s">
        <v>40</v>
      </c>
      <c r="G184" s="6" t="s">
        <v>55</v>
      </c>
      <c r="H184" s="6" t="s">
        <v>1105</v>
      </c>
      <c r="I184" s="7" t="s">
        <v>1083</v>
      </c>
      <c r="J184" s="7" t="s">
        <v>1062</v>
      </c>
      <c r="K184" s="6">
        <v>1</v>
      </c>
      <c r="L184" s="6" t="s">
        <v>43</v>
      </c>
      <c r="M184" s="8">
        <v>10200</v>
      </c>
      <c r="N184" s="6" t="s">
        <v>1106</v>
      </c>
      <c r="O184" s="24">
        <v>1</v>
      </c>
      <c r="P184" s="8">
        <v>10200</v>
      </c>
      <c r="Q184" s="6" t="s">
        <v>1106</v>
      </c>
      <c r="R184" s="6" t="s">
        <v>1107</v>
      </c>
      <c r="S184" s="6" t="s">
        <v>1108</v>
      </c>
      <c r="T184" s="10" t="s">
        <v>1109</v>
      </c>
      <c r="U184" s="10" t="s">
        <v>1110</v>
      </c>
      <c r="V184" s="6" t="s">
        <v>59</v>
      </c>
      <c r="W184" s="8">
        <v>10200</v>
      </c>
      <c r="X184" s="6" t="s">
        <v>74</v>
      </c>
    </row>
    <row r="185" spans="1:25" s="43" customFormat="1" ht="193.2">
      <c r="A185" s="37" t="s">
        <v>39</v>
      </c>
      <c r="B185" s="37">
        <v>13</v>
      </c>
      <c r="C185" s="38" t="s">
        <v>494</v>
      </c>
      <c r="D185" s="37" t="s">
        <v>3408</v>
      </c>
      <c r="E185" s="37" t="s">
        <v>3409</v>
      </c>
      <c r="F185" s="37" t="s">
        <v>1568</v>
      </c>
      <c r="G185" s="37" t="s">
        <v>55</v>
      </c>
      <c r="H185" s="37" t="s">
        <v>158</v>
      </c>
      <c r="I185" s="38" t="s">
        <v>1062</v>
      </c>
      <c r="J185" s="38" t="s">
        <v>1062</v>
      </c>
      <c r="K185" s="37" t="s">
        <v>1171</v>
      </c>
      <c r="L185" s="37" t="s">
        <v>1589</v>
      </c>
      <c r="M185" s="39">
        <v>1400</v>
      </c>
      <c r="N185" s="37" t="s">
        <v>3410</v>
      </c>
      <c r="O185" s="40">
        <v>1</v>
      </c>
      <c r="P185" s="39">
        <v>1400</v>
      </c>
      <c r="Q185" s="37" t="s">
        <v>3410</v>
      </c>
      <c r="R185" s="37" t="s">
        <v>3391</v>
      </c>
      <c r="S185" s="37" t="s">
        <v>3392</v>
      </c>
      <c r="T185" s="41" t="s">
        <v>3411</v>
      </c>
      <c r="U185" s="41" t="s">
        <v>3412</v>
      </c>
      <c r="V185" s="37" t="s">
        <v>59</v>
      </c>
      <c r="W185" s="39">
        <v>315267</v>
      </c>
      <c r="X185" s="37" t="s">
        <v>74</v>
      </c>
      <c r="Y185" s="37"/>
    </row>
    <row r="186" spans="1:25" s="43" customFormat="1" ht="124.2">
      <c r="A186" s="37" t="s">
        <v>39</v>
      </c>
      <c r="B186" s="37">
        <v>13</v>
      </c>
      <c r="C186" s="38" t="s">
        <v>505</v>
      </c>
      <c r="D186" s="37" t="s">
        <v>3413</v>
      </c>
      <c r="E186" s="37" t="s">
        <v>3414</v>
      </c>
      <c r="F186" s="37" t="s">
        <v>1568</v>
      </c>
      <c r="G186" s="37" t="s">
        <v>55</v>
      </c>
      <c r="H186" s="37" t="s">
        <v>158</v>
      </c>
      <c r="I186" s="38" t="s">
        <v>1062</v>
      </c>
      <c r="J186" s="38" t="s">
        <v>1062</v>
      </c>
      <c r="K186" s="37" t="s">
        <v>1171</v>
      </c>
      <c r="L186" s="37" t="s">
        <v>1589</v>
      </c>
      <c r="M186" s="39">
        <v>1430</v>
      </c>
      <c r="N186" s="37" t="s">
        <v>3415</v>
      </c>
      <c r="O186" s="40">
        <v>1</v>
      </c>
      <c r="P186" s="39">
        <v>1430</v>
      </c>
      <c r="Q186" s="37" t="s">
        <v>3415</v>
      </c>
      <c r="R186" s="37" t="s">
        <v>3416</v>
      </c>
      <c r="S186" s="37" t="s">
        <v>3417</v>
      </c>
      <c r="T186" s="41" t="s">
        <v>3418</v>
      </c>
      <c r="U186" s="41" t="s">
        <v>3419</v>
      </c>
      <c r="V186" s="37" t="s">
        <v>59</v>
      </c>
      <c r="W186" s="39">
        <v>229118.61</v>
      </c>
      <c r="X186" s="37" t="s">
        <v>74</v>
      </c>
      <c r="Y186" s="37"/>
    </row>
    <row r="187" spans="1:25" s="43" customFormat="1" ht="276">
      <c r="A187" s="37" t="s">
        <v>39</v>
      </c>
      <c r="B187" s="37">
        <v>13</v>
      </c>
      <c r="C187" s="38" t="s">
        <v>514</v>
      </c>
      <c r="D187" s="37" t="s">
        <v>3420</v>
      </c>
      <c r="E187" s="37" t="s">
        <v>3421</v>
      </c>
      <c r="F187" s="37" t="s">
        <v>1568</v>
      </c>
      <c r="G187" s="37" t="s">
        <v>55</v>
      </c>
      <c r="H187" s="37" t="s">
        <v>158</v>
      </c>
      <c r="I187" s="38" t="s">
        <v>3422</v>
      </c>
      <c r="J187" s="38" t="s">
        <v>1198</v>
      </c>
      <c r="K187" s="37">
        <v>9</v>
      </c>
      <c r="L187" s="37" t="s">
        <v>1589</v>
      </c>
      <c r="M187" s="39">
        <v>2000</v>
      </c>
      <c r="N187" s="37" t="s">
        <v>3423</v>
      </c>
      <c r="O187" s="40">
        <v>1</v>
      </c>
      <c r="P187" s="39">
        <v>2000</v>
      </c>
      <c r="Q187" s="37" t="s">
        <v>3423</v>
      </c>
      <c r="R187" s="37" t="s">
        <v>3420</v>
      </c>
      <c r="S187" s="37" t="s">
        <v>3424</v>
      </c>
      <c r="T187" s="41" t="s">
        <v>3425</v>
      </c>
      <c r="U187" s="41" t="s">
        <v>3426</v>
      </c>
      <c r="V187" s="37" t="s">
        <v>59</v>
      </c>
      <c r="W187" s="39">
        <v>2000</v>
      </c>
      <c r="X187" s="37" t="s">
        <v>74</v>
      </c>
      <c r="Y187" s="37"/>
    </row>
    <row r="188" spans="1:25" s="6" customFormat="1" ht="248.4">
      <c r="A188" s="6" t="s">
        <v>39</v>
      </c>
      <c r="B188" s="7" t="s">
        <v>969</v>
      </c>
      <c r="C188" s="7" t="s">
        <v>522</v>
      </c>
      <c r="D188" s="6" t="s">
        <v>1111</v>
      </c>
      <c r="E188" s="6" t="s">
        <v>1112</v>
      </c>
      <c r="F188" s="6" t="s">
        <v>40</v>
      </c>
      <c r="G188" s="6" t="s">
        <v>55</v>
      </c>
      <c r="H188" s="6" t="s">
        <v>1113</v>
      </c>
      <c r="I188" s="7" t="s">
        <v>1114</v>
      </c>
      <c r="J188" s="7" t="s">
        <v>1114</v>
      </c>
      <c r="K188" s="6">
        <v>1</v>
      </c>
      <c r="L188" s="6" t="s">
        <v>43</v>
      </c>
      <c r="M188" s="8">
        <v>4140</v>
      </c>
      <c r="N188" s="6" t="s">
        <v>1115</v>
      </c>
      <c r="O188" s="24">
        <v>1</v>
      </c>
      <c r="P188" s="8">
        <v>4140</v>
      </c>
      <c r="Q188" s="6" t="s">
        <v>1115</v>
      </c>
      <c r="R188" s="6" t="s">
        <v>291</v>
      </c>
      <c r="S188" s="6" t="s">
        <v>943</v>
      </c>
      <c r="T188" s="10" t="s">
        <v>1033</v>
      </c>
      <c r="U188" s="10" t="s">
        <v>1116</v>
      </c>
      <c r="V188" s="6" t="s">
        <v>59</v>
      </c>
      <c r="W188" s="8">
        <v>12536932.529999999</v>
      </c>
      <c r="X188" s="6" t="s">
        <v>58</v>
      </c>
    </row>
    <row r="189" spans="1:25" s="6" customFormat="1" ht="248.4">
      <c r="A189" s="6" t="s">
        <v>39</v>
      </c>
      <c r="B189" s="7" t="s">
        <v>969</v>
      </c>
      <c r="C189" s="7" t="s">
        <v>528</v>
      </c>
      <c r="D189" s="6" t="s">
        <v>1117</v>
      </c>
      <c r="E189" s="6" t="s">
        <v>1118</v>
      </c>
      <c r="F189" s="6" t="s">
        <v>40</v>
      </c>
      <c r="G189" s="6" t="s">
        <v>55</v>
      </c>
      <c r="H189" s="6" t="s">
        <v>158</v>
      </c>
      <c r="I189" s="7" t="s">
        <v>1114</v>
      </c>
      <c r="J189" s="7" t="s">
        <v>1119</v>
      </c>
      <c r="K189" s="6">
        <v>36</v>
      </c>
      <c r="L189" s="6" t="s">
        <v>43</v>
      </c>
      <c r="M189" s="8">
        <v>85767</v>
      </c>
      <c r="N189" s="6" t="s">
        <v>1120</v>
      </c>
      <c r="O189" s="24">
        <v>1</v>
      </c>
      <c r="P189" s="8">
        <v>85767</v>
      </c>
      <c r="Q189" s="6" t="s">
        <v>1120</v>
      </c>
      <c r="R189" s="6" t="s">
        <v>1121</v>
      </c>
      <c r="S189" s="6" t="s">
        <v>1122</v>
      </c>
      <c r="T189" s="10" t="s">
        <v>1123</v>
      </c>
      <c r="U189" s="10" t="s">
        <v>1124</v>
      </c>
      <c r="V189" s="6" t="s">
        <v>59</v>
      </c>
      <c r="W189" s="8">
        <v>86030</v>
      </c>
      <c r="X189" s="6" t="s">
        <v>74</v>
      </c>
    </row>
    <row r="190" spans="1:25" s="6" customFormat="1" ht="331.2">
      <c r="A190" s="6" t="s">
        <v>39</v>
      </c>
      <c r="B190" s="7" t="s">
        <v>969</v>
      </c>
      <c r="C190" s="7" t="s">
        <v>536</v>
      </c>
      <c r="D190" s="6" t="s">
        <v>1125</v>
      </c>
      <c r="E190" s="6" t="s">
        <v>1126</v>
      </c>
      <c r="F190" s="6" t="s">
        <v>40</v>
      </c>
      <c r="G190" s="6" t="s">
        <v>1127</v>
      </c>
      <c r="H190" s="6" t="s">
        <v>1128</v>
      </c>
      <c r="I190" s="7" t="s">
        <v>1114</v>
      </c>
      <c r="J190" s="7" t="s">
        <v>1129</v>
      </c>
      <c r="K190" s="6">
        <v>7</v>
      </c>
      <c r="L190" s="6" t="s">
        <v>278</v>
      </c>
      <c r="M190" s="8">
        <v>18500</v>
      </c>
      <c r="N190" s="6" t="s">
        <v>1135</v>
      </c>
      <c r="O190" s="24">
        <v>1</v>
      </c>
      <c r="P190" s="8">
        <v>18500</v>
      </c>
      <c r="Q190" s="6" t="s">
        <v>1135</v>
      </c>
      <c r="R190" s="6" t="s">
        <v>1130</v>
      </c>
      <c r="S190" s="6" t="s">
        <v>1131</v>
      </c>
      <c r="T190" s="10" t="s">
        <v>1132</v>
      </c>
      <c r="U190" s="10" t="s">
        <v>1133</v>
      </c>
      <c r="V190" s="6">
        <v>12</v>
      </c>
      <c r="W190" s="6" t="s">
        <v>1134</v>
      </c>
      <c r="X190" s="6" t="s">
        <v>74</v>
      </c>
    </row>
    <row r="191" spans="1:25" s="6" customFormat="1" ht="409.6">
      <c r="A191" s="6" t="s">
        <v>39</v>
      </c>
      <c r="B191" s="7" t="s">
        <v>969</v>
      </c>
      <c r="C191" s="7" t="s">
        <v>544</v>
      </c>
      <c r="D191" s="6" t="s">
        <v>1136</v>
      </c>
      <c r="E191" s="6" t="s">
        <v>1137</v>
      </c>
      <c r="F191" s="6" t="s">
        <v>40</v>
      </c>
      <c r="G191" s="6" t="s">
        <v>55</v>
      </c>
      <c r="H191" s="6" t="s">
        <v>49</v>
      </c>
      <c r="I191" s="7" t="s">
        <v>1138</v>
      </c>
      <c r="J191" s="7" t="s">
        <v>1138</v>
      </c>
      <c r="K191" s="6">
        <v>1</v>
      </c>
      <c r="L191" s="6" t="s">
        <v>43</v>
      </c>
      <c r="M191" s="8">
        <v>13100</v>
      </c>
      <c r="N191" s="6" t="s">
        <v>1139</v>
      </c>
      <c r="O191" s="24">
        <v>1</v>
      </c>
      <c r="P191" s="8">
        <v>13100</v>
      </c>
      <c r="Q191" s="6" t="s">
        <v>1139</v>
      </c>
      <c r="R191" s="6" t="s">
        <v>291</v>
      </c>
      <c r="S191" s="6" t="s">
        <v>943</v>
      </c>
      <c r="T191" s="10" t="s">
        <v>1140</v>
      </c>
      <c r="U191" s="10" t="s">
        <v>1141</v>
      </c>
      <c r="V191" s="6" t="s">
        <v>59</v>
      </c>
      <c r="W191" s="8">
        <v>5707481.2800000003</v>
      </c>
      <c r="X191" s="6" t="s">
        <v>58</v>
      </c>
    </row>
    <row r="192" spans="1:25" s="42" customFormat="1" ht="234.6">
      <c r="A192" s="37" t="s">
        <v>39</v>
      </c>
      <c r="B192" s="38" t="s">
        <v>969</v>
      </c>
      <c r="C192" s="38" t="s">
        <v>842</v>
      </c>
      <c r="D192" s="37" t="s">
        <v>3427</v>
      </c>
      <c r="E192" s="37" t="s">
        <v>3428</v>
      </c>
      <c r="F192" s="37" t="s">
        <v>1278</v>
      </c>
      <c r="G192" s="37" t="s">
        <v>55</v>
      </c>
      <c r="H192" s="37" t="s">
        <v>613</v>
      </c>
      <c r="I192" s="38" t="s">
        <v>3429</v>
      </c>
      <c r="J192" s="38" t="s">
        <v>1239</v>
      </c>
      <c r="K192" s="37">
        <v>6</v>
      </c>
      <c r="L192" s="37" t="s">
        <v>43</v>
      </c>
      <c r="M192" s="39">
        <v>60780.1</v>
      </c>
      <c r="N192" s="37" t="s">
        <v>3430</v>
      </c>
      <c r="O192" s="40">
        <v>1</v>
      </c>
      <c r="P192" s="39">
        <v>60780.1</v>
      </c>
      <c r="Q192" s="37" t="s">
        <v>3430</v>
      </c>
      <c r="R192" s="37" t="s">
        <v>3404</v>
      </c>
      <c r="S192" s="37" t="s">
        <v>3405</v>
      </c>
      <c r="T192" s="41" t="s">
        <v>3431</v>
      </c>
      <c r="U192" s="41" t="s">
        <v>3432</v>
      </c>
      <c r="V192" s="37" t="s">
        <v>59</v>
      </c>
      <c r="W192" s="39">
        <v>117328.05</v>
      </c>
      <c r="X192" s="37" t="s">
        <v>74</v>
      </c>
      <c r="Y192" s="37"/>
    </row>
    <row r="193" spans="1:25" s="6" customFormat="1" ht="409.6">
      <c r="A193" s="6" t="s">
        <v>39</v>
      </c>
      <c r="B193" s="7" t="s">
        <v>1142</v>
      </c>
      <c r="C193" s="7" t="s">
        <v>80</v>
      </c>
      <c r="D193" s="6" t="s">
        <v>1143</v>
      </c>
      <c r="E193" s="6" t="s">
        <v>1144</v>
      </c>
      <c r="F193" s="6" t="s">
        <v>40</v>
      </c>
      <c r="G193" s="6" t="s">
        <v>55</v>
      </c>
      <c r="H193" s="6" t="s">
        <v>49</v>
      </c>
      <c r="I193" s="7" t="s">
        <v>1138</v>
      </c>
      <c r="J193" s="7" t="s">
        <v>1138</v>
      </c>
      <c r="K193" s="6">
        <v>1</v>
      </c>
      <c r="L193" s="6" t="s">
        <v>43</v>
      </c>
      <c r="M193" s="8">
        <v>10875</v>
      </c>
      <c r="N193" s="6" t="s">
        <v>1145</v>
      </c>
      <c r="O193" s="24">
        <v>1</v>
      </c>
      <c r="P193" s="8">
        <v>10875</v>
      </c>
      <c r="Q193" s="6" t="s">
        <v>1145</v>
      </c>
      <c r="R193" s="6" t="s">
        <v>291</v>
      </c>
      <c r="S193" s="6" t="s">
        <v>943</v>
      </c>
      <c r="T193" s="10" t="s">
        <v>1140</v>
      </c>
      <c r="U193" s="10" t="s">
        <v>1146</v>
      </c>
      <c r="V193" s="6" t="s">
        <v>59</v>
      </c>
      <c r="W193" s="8">
        <v>3445645.76</v>
      </c>
      <c r="X193" s="6" t="s">
        <v>58</v>
      </c>
    </row>
    <row r="194" spans="1:25" s="6" customFormat="1" ht="303.60000000000002">
      <c r="A194" s="6" t="s">
        <v>39</v>
      </c>
      <c r="B194" s="7" t="s">
        <v>1142</v>
      </c>
      <c r="C194" s="7" t="s">
        <v>93</v>
      </c>
      <c r="D194" s="6" t="s">
        <v>1147</v>
      </c>
      <c r="E194" s="6" t="s">
        <v>1148</v>
      </c>
      <c r="F194" s="6" t="s">
        <v>40</v>
      </c>
      <c r="G194" s="6" t="s">
        <v>55</v>
      </c>
      <c r="H194" s="6" t="s">
        <v>158</v>
      </c>
      <c r="I194" s="7" t="s">
        <v>1044</v>
      </c>
      <c r="J194" s="7" t="s">
        <v>1149</v>
      </c>
      <c r="K194" s="6">
        <v>20</v>
      </c>
      <c r="L194" s="6" t="s">
        <v>43</v>
      </c>
      <c r="M194" s="8">
        <v>37894</v>
      </c>
      <c r="N194" s="6" t="s">
        <v>1150</v>
      </c>
      <c r="O194" s="24">
        <v>1</v>
      </c>
      <c r="P194" s="8">
        <v>37894</v>
      </c>
      <c r="Q194" s="6" t="s">
        <v>1150</v>
      </c>
      <c r="R194" s="6" t="s">
        <v>1151</v>
      </c>
      <c r="S194" s="6" t="s">
        <v>1152</v>
      </c>
      <c r="T194" s="10" t="s">
        <v>1153</v>
      </c>
      <c r="U194" s="10" t="s">
        <v>1154</v>
      </c>
      <c r="V194" s="6" t="s">
        <v>59</v>
      </c>
      <c r="W194" s="8">
        <v>37894</v>
      </c>
      <c r="X194" s="6" t="s">
        <v>74</v>
      </c>
    </row>
    <row r="195" spans="1:25" s="44" customFormat="1" ht="409.6">
      <c r="A195" s="37" t="s">
        <v>39</v>
      </c>
      <c r="B195" s="38" t="s">
        <v>1142</v>
      </c>
      <c r="C195" s="38" t="s">
        <v>104</v>
      </c>
      <c r="D195" s="37" t="s">
        <v>3433</v>
      </c>
      <c r="E195" s="37" t="s">
        <v>3434</v>
      </c>
      <c r="F195" s="37" t="s">
        <v>2880</v>
      </c>
      <c r="G195" s="37" t="s">
        <v>55</v>
      </c>
      <c r="H195" s="37" t="s">
        <v>158</v>
      </c>
      <c r="I195" s="38" t="s">
        <v>1129</v>
      </c>
      <c r="J195" s="38" t="s">
        <v>1299</v>
      </c>
      <c r="K195" s="37">
        <v>6</v>
      </c>
      <c r="L195" s="37" t="s">
        <v>2998</v>
      </c>
      <c r="M195" s="39">
        <v>103866</v>
      </c>
      <c r="N195" s="37" t="s">
        <v>3435</v>
      </c>
      <c r="O195" s="40">
        <v>1</v>
      </c>
      <c r="P195" s="39">
        <v>36623.82</v>
      </c>
      <c r="Q195" s="37" t="s">
        <v>3440</v>
      </c>
      <c r="R195" s="37" t="s">
        <v>1509</v>
      </c>
      <c r="S195" s="37" t="s">
        <v>3436</v>
      </c>
      <c r="T195" s="41" t="s">
        <v>3437</v>
      </c>
      <c r="U195" s="41" t="s">
        <v>3438</v>
      </c>
      <c r="V195" s="37" t="s">
        <v>59</v>
      </c>
      <c r="W195" s="39">
        <v>9165000</v>
      </c>
      <c r="X195" s="37" t="s">
        <v>58</v>
      </c>
      <c r="Y195" s="37" t="s">
        <v>3439</v>
      </c>
    </row>
    <row r="196" spans="1:25" s="6" customFormat="1" ht="220.8">
      <c r="A196" s="6" t="s">
        <v>39</v>
      </c>
      <c r="B196" s="7" t="s">
        <v>1142</v>
      </c>
      <c r="C196" s="7" t="s">
        <v>113</v>
      </c>
      <c r="D196" s="6" t="s">
        <v>1155</v>
      </c>
      <c r="E196" s="6" t="s">
        <v>1156</v>
      </c>
      <c r="F196" s="6" t="s">
        <v>40</v>
      </c>
      <c r="G196" s="6" t="s">
        <v>55</v>
      </c>
      <c r="H196" s="6" t="s">
        <v>325</v>
      </c>
      <c r="I196" s="7" t="s">
        <v>1157</v>
      </c>
      <c r="J196" s="7" t="s">
        <v>1149</v>
      </c>
      <c r="K196" s="6">
        <v>19</v>
      </c>
      <c r="L196" s="6" t="s">
        <v>43</v>
      </c>
      <c r="M196" s="8">
        <v>6100</v>
      </c>
      <c r="N196" s="6" t="s">
        <v>1158</v>
      </c>
      <c r="O196" s="24">
        <v>1</v>
      </c>
      <c r="P196" s="8">
        <v>6100</v>
      </c>
      <c r="Q196" s="6" t="s">
        <v>1158</v>
      </c>
      <c r="R196" s="6" t="s">
        <v>1091</v>
      </c>
      <c r="S196" s="6" t="s">
        <v>1092</v>
      </c>
      <c r="T196" s="10" t="s">
        <v>2875</v>
      </c>
      <c r="U196" s="10" t="s">
        <v>1160</v>
      </c>
      <c r="V196" s="6" t="s">
        <v>59</v>
      </c>
      <c r="W196" s="8">
        <v>6100</v>
      </c>
      <c r="X196" s="6" t="s">
        <v>74</v>
      </c>
    </row>
    <row r="197" spans="1:25" s="6" customFormat="1" ht="193.2">
      <c r="A197" s="6" t="s">
        <v>39</v>
      </c>
      <c r="B197" s="7" t="s">
        <v>1142</v>
      </c>
      <c r="C197" s="7" t="s">
        <v>113</v>
      </c>
      <c r="D197" s="6" t="s">
        <v>1155</v>
      </c>
      <c r="E197" s="6" t="s">
        <v>2871</v>
      </c>
      <c r="F197" s="6" t="s">
        <v>40</v>
      </c>
      <c r="G197" s="6" t="s">
        <v>55</v>
      </c>
      <c r="H197" s="6" t="s">
        <v>325</v>
      </c>
      <c r="I197" s="7" t="s">
        <v>1716</v>
      </c>
      <c r="J197" s="7" t="s">
        <v>1982</v>
      </c>
      <c r="K197" s="6">
        <v>1</v>
      </c>
      <c r="L197" s="6" t="s">
        <v>43</v>
      </c>
      <c r="M197" s="8">
        <v>2550</v>
      </c>
      <c r="N197" s="6" t="s">
        <v>2872</v>
      </c>
      <c r="O197" s="24">
        <v>1</v>
      </c>
      <c r="P197" s="8">
        <v>2550</v>
      </c>
      <c r="Q197" s="6" t="s">
        <v>2872</v>
      </c>
      <c r="R197" s="6" t="s">
        <v>2874</v>
      </c>
      <c r="S197" s="6" t="s">
        <v>2873</v>
      </c>
      <c r="T197" s="10" t="s">
        <v>2876</v>
      </c>
      <c r="U197" s="10" t="s">
        <v>1159</v>
      </c>
      <c r="V197" s="6" t="s">
        <v>59</v>
      </c>
      <c r="W197" s="8">
        <v>2550</v>
      </c>
      <c r="X197" s="6" t="s">
        <v>74</v>
      </c>
    </row>
    <row r="198" spans="1:25" s="6" customFormat="1" ht="234.6">
      <c r="A198" s="6" t="s">
        <v>39</v>
      </c>
      <c r="B198" s="7" t="s">
        <v>1142</v>
      </c>
      <c r="C198" s="7" t="s">
        <v>167</v>
      </c>
      <c r="D198" s="6" t="s">
        <v>1161</v>
      </c>
      <c r="E198" s="6" t="s">
        <v>1162</v>
      </c>
      <c r="F198" s="6" t="s">
        <v>40</v>
      </c>
      <c r="G198" s="6" t="s">
        <v>55</v>
      </c>
      <c r="H198" s="6" t="s">
        <v>990</v>
      </c>
      <c r="I198" s="7" t="s">
        <v>1044</v>
      </c>
      <c r="J198" s="7" t="s">
        <v>1157</v>
      </c>
      <c r="K198" s="6">
        <v>1</v>
      </c>
      <c r="L198" s="6" t="s">
        <v>43</v>
      </c>
      <c r="M198" s="8">
        <v>4500</v>
      </c>
      <c r="N198" s="6" t="s">
        <v>1163</v>
      </c>
      <c r="O198" s="24">
        <v>1</v>
      </c>
      <c r="P198" s="8">
        <v>4500</v>
      </c>
      <c r="Q198" s="6" t="s">
        <v>1163</v>
      </c>
      <c r="R198" s="6" t="s">
        <v>1164</v>
      </c>
      <c r="S198" s="6" t="s">
        <v>993</v>
      </c>
      <c r="T198" s="10" t="s">
        <v>1165</v>
      </c>
      <c r="U198" s="10" t="s">
        <v>1166</v>
      </c>
      <c r="V198" s="6" t="s">
        <v>59</v>
      </c>
      <c r="W198" s="8">
        <v>4500</v>
      </c>
      <c r="X198" s="6" t="s">
        <v>58</v>
      </c>
    </row>
    <row r="199" spans="1:25" s="43" customFormat="1" ht="248.4">
      <c r="A199" s="37" t="s">
        <v>39</v>
      </c>
      <c r="B199" s="37">
        <v>14</v>
      </c>
      <c r="C199" s="38" t="s">
        <v>176</v>
      </c>
      <c r="D199" s="37" t="s">
        <v>3441</v>
      </c>
      <c r="E199" s="37" t="s">
        <v>3442</v>
      </c>
      <c r="F199" s="37" t="s">
        <v>1568</v>
      </c>
      <c r="G199" s="37" t="s">
        <v>55</v>
      </c>
      <c r="H199" s="37" t="s">
        <v>158</v>
      </c>
      <c r="I199" s="38" t="s">
        <v>1157</v>
      </c>
      <c r="J199" s="38" t="s">
        <v>1157</v>
      </c>
      <c r="K199" s="37" t="s">
        <v>1171</v>
      </c>
      <c r="L199" s="37" t="s">
        <v>1589</v>
      </c>
      <c r="M199" s="39">
        <v>1420</v>
      </c>
      <c r="N199" s="37" t="s">
        <v>3443</v>
      </c>
      <c r="O199" s="40">
        <v>1</v>
      </c>
      <c r="P199" s="39">
        <v>1420</v>
      </c>
      <c r="Q199" s="37" t="s">
        <v>3443</v>
      </c>
      <c r="R199" s="37" t="s">
        <v>3444</v>
      </c>
      <c r="S199" s="37" t="s">
        <v>3445</v>
      </c>
      <c r="T199" s="41" t="s">
        <v>3446</v>
      </c>
      <c r="U199" s="41" t="s">
        <v>3447</v>
      </c>
      <c r="V199" s="37" t="s">
        <v>59</v>
      </c>
      <c r="W199" s="39">
        <v>420900</v>
      </c>
      <c r="X199" s="37" t="s">
        <v>74</v>
      </c>
      <c r="Y199" s="37"/>
    </row>
    <row r="200" spans="1:25" s="6" customFormat="1" ht="124.2">
      <c r="A200" s="6" t="s">
        <v>39</v>
      </c>
      <c r="B200" s="7" t="s">
        <v>1142</v>
      </c>
      <c r="C200" s="7" t="s">
        <v>183</v>
      </c>
      <c r="D200" s="6" t="s">
        <v>1167</v>
      </c>
      <c r="E200" s="6" t="s">
        <v>1168</v>
      </c>
      <c r="F200" s="6" t="s">
        <v>40</v>
      </c>
      <c r="G200" s="6" t="s">
        <v>55</v>
      </c>
      <c r="H200" s="6" t="s">
        <v>1169</v>
      </c>
      <c r="I200" s="7" t="s">
        <v>1170</v>
      </c>
      <c r="J200" s="7" t="s">
        <v>1170</v>
      </c>
      <c r="K200" s="6" t="s">
        <v>1171</v>
      </c>
      <c r="L200" s="6" t="s">
        <v>43</v>
      </c>
      <c r="M200" s="8">
        <v>1200</v>
      </c>
      <c r="N200" s="6" t="s">
        <v>1172</v>
      </c>
      <c r="O200" s="24">
        <v>1</v>
      </c>
      <c r="P200" s="8">
        <v>1200</v>
      </c>
      <c r="Q200" s="6" t="s">
        <v>1172</v>
      </c>
      <c r="R200" s="6" t="s">
        <v>1173</v>
      </c>
      <c r="S200" s="6" t="s">
        <v>1174</v>
      </c>
      <c r="T200" s="10" t="s">
        <v>1175</v>
      </c>
      <c r="U200" s="10" t="s">
        <v>1176</v>
      </c>
      <c r="V200" s="6" t="s">
        <v>59</v>
      </c>
      <c r="W200" s="8">
        <v>1200</v>
      </c>
      <c r="X200" s="6" t="s">
        <v>74</v>
      </c>
    </row>
    <row r="201" spans="1:25" s="42" customFormat="1" ht="82.8">
      <c r="A201" s="37" t="s">
        <v>39</v>
      </c>
      <c r="B201" s="49" t="s">
        <v>1142</v>
      </c>
      <c r="C201" s="49" t="s">
        <v>114</v>
      </c>
      <c r="D201" s="37" t="s">
        <v>3448</v>
      </c>
      <c r="E201" s="37" t="s">
        <v>3449</v>
      </c>
      <c r="F201" s="37" t="s">
        <v>1278</v>
      </c>
      <c r="G201" s="37" t="s">
        <v>55</v>
      </c>
      <c r="H201" s="37" t="s">
        <v>158</v>
      </c>
      <c r="I201" s="38" t="s">
        <v>1157</v>
      </c>
      <c r="J201" s="38" t="s">
        <v>1157</v>
      </c>
      <c r="K201" s="37" t="s">
        <v>2345</v>
      </c>
      <c r="L201" s="37" t="s">
        <v>43</v>
      </c>
      <c r="M201" s="39">
        <v>450</v>
      </c>
      <c r="N201" s="37" t="s">
        <v>3450</v>
      </c>
      <c r="O201" s="40">
        <v>1</v>
      </c>
      <c r="P201" s="39">
        <v>450</v>
      </c>
      <c r="Q201" s="37" t="s">
        <v>3450</v>
      </c>
      <c r="R201" s="37" t="s">
        <v>3451</v>
      </c>
      <c r="S201" s="37" t="s">
        <v>3452</v>
      </c>
      <c r="T201" s="41" t="s">
        <v>3453</v>
      </c>
      <c r="U201" s="48" t="s">
        <v>461</v>
      </c>
      <c r="V201" s="37" t="s">
        <v>59</v>
      </c>
      <c r="W201" s="39">
        <v>450</v>
      </c>
      <c r="X201" s="37" t="s">
        <v>74</v>
      </c>
      <c r="Y201" s="37"/>
    </row>
    <row r="202" spans="1:25" s="42" customFormat="1" ht="276">
      <c r="A202" s="37" t="s">
        <v>39</v>
      </c>
      <c r="B202" s="38" t="s">
        <v>1142</v>
      </c>
      <c r="C202" s="38" t="s">
        <v>125</v>
      </c>
      <c r="D202" s="37" t="s">
        <v>3454</v>
      </c>
      <c r="E202" s="37" t="s">
        <v>3455</v>
      </c>
      <c r="F202" s="37" t="s">
        <v>1278</v>
      </c>
      <c r="G202" s="37" t="s">
        <v>55</v>
      </c>
      <c r="H202" s="37" t="s">
        <v>158</v>
      </c>
      <c r="I202" s="38" t="s">
        <v>1179</v>
      </c>
      <c r="J202" s="38" t="s">
        <v>1179</v>
      </c>
      <c r="K202" s="37" t="s">
        <v>1199</v>
      </c>
      <c r="L202" s="37" t="s">
        <v>43</v>
      </c>
      <c r="M202" s="39">
        <v>999</v>
      </c>
      <c r="N202" s="37" t="s">
        <v>3456</v>
      </c>
      <c r="O202" s="40">
        <v>1</v>
      </c>
      <c r="P202" s="39">
        <v>999</v>
      </c>
      <c r="Q202" s="37" t="s">
        <v>3456</v>
      </c>
      <c r="R202" s="37" t="s">
        <v>1509</v>
      </c>
      <c r="S202" s="37" t="s">
        <v>2095</v>
      </c>
      <c r="T202" s="41" t="s">
        <v>3457</v>
      </c>
      <c r="U202" s="41" t="s">
        <v>3458</v>
      </c>
      <c r="V202" s="37" t="s">
        <v>59</v>
      </c>
      <c r="W202" s="39">
        <v>999</v>
      </c>
      <c r="X202" s="37" t="s">
        <v>74</v>
      </c>
      <c r="Y202" s="37"/>
    </row>
    <row r="203" spans="1:25" s="6" customFormat="1" ht="220.8">
      <c r="A203" s="6" t="s">
        <v>39</v>
      </c>
      <c r="B203" s="7" t="s">
        <v>1142</v>
      </c>
      <c r="C203" s="7" t="s">
        <v>134</v>
      </c>
      <c r="D203" s="6" t="s">
        <v>1177</v>
      </c>
      <c r="E203" s="6" t="s">
        <v>1178</v>
      </c>
      <c r="F203" s="6" t="s">
        <v>40</v>
      </c>
      <c r="G203" s="6" t="s">
        <v>55</v>
      </c>
      <c r="H203" s="6" t="s">
        <v>158</v>
      </c>
      <c r="I203" s="7" t="s">
        <v>1179</v>
      </c>
      <c r="J203" s="7" t="s">
        <v>1129</v>
      </c>
      <c r="K203" s="6">
        <v>3</v>
      </c>
      <c r="L203" s="6" t="s">
        <v>43</v>
      </c>
      <c r="M203" s="8">
        <v>13020</v>
      </c>
      <c r="N203" s="6" t="s">
        <v>1180</v>
      </c>
      <c r="O203" s="24">
        <v>1</v>
      </c>
      <c r="P203" s="8">
        <v>13020</v>
      </c>
      <c r="Q203" s="6" t="s">
        <v>1180</v>
      </c>
      <c r="R203" s="6" t="s">
        <v>1181</v>
      </c>
      <c r="S203" s="6" t="s">
        <v>1182</v>
      </c>
      <c r="T203" s="10" t="s">
        <v>1183</v>
      </c>
      <c r="U203" s="10" t="s">
        <v>1184</v>
      </c>
      <c r="V203" s="6" t="s">
        <v>59</v>
      </c>
      <c r="W203" s="8">
        <v>13020</v>
      </c>
      <c r="X203" s="6" t="s">
        <v>74</v>
      </c>
    </row>
    <row r="204" spans="1:25" s="6" customFormat="1" ht="220.8">
      <c r="A204" s="6" t="s">
        <v>39</v>
      </c>
      <c r="B204" s="7" t="s">
        <v>1142</v>
      </c>
      <c r="C204" s="7" t="s">
        <v>191</v>
      </c>
      <c r="D204" s="6" t="s">
        <v>1185</v>
      </c>
      <c r="E204" s="6" t="s">
        <v>1186</v>
      </c>
      <c r="F204" s="6" t="s">
        <v>40</v>
      </c>
      <c r="G204" s="6" t="s">
        <v>55</v>
      </c>
      <c r="H204" s="6" t="s">
        <v>325</v>
      </c>
      <c r="I204" s="7" t="s">
        <v>1179</v>
      </c>
      <c r="J204" s="7" t="s">
        <v>1179</v>
      </c>
      <c r="K204" s="6">
        <v>1</v>
      </c>
      <c r="L204" s="6" t="s">
        <v>43</v>
      </c>
      <c r="M204" s="8">
        <v>6675</v>
      </c>
      <c r="N204" s="6" t="s">
        <v>1192</v>
      </c>
      <c r="O204" s="24">
        <v>1</v>
      </c>
      <c r="P204" s="8">
        <v>6675</v>
      </c>
      <c r="Q204" s="6" t="s">
        <v>1192</v>
      </c>
      <c r="R204" s="6" t="s">
        <v>1187</v>
      </c>
      <c r="S204" s="6" t="s">
        <v>943</v>
      </c>
      <c r="T204" s="10" t="s">
        <v>1188</v>
      </c>
      <c r="U204" s="10" t="s">
        <v>1189</v>
      </c>
      <c r="V204" s="6" t="s">
        <v>59</v>
      </c>
      <c r="W204" s="8">
        <v>4178436</v>
      </c>
      <c r="X204" s="6" t="s">
        <v>58</v>
      </c>
    </row>
    <row r="205" spans="1:25" s="6" customFormat="1" ht="234.6">
      <c r="A205" s="6" t="s">
        <v>39</v>
      </c>
      <c r="B205" s="7" t="s">
        <v>1142</v>
      </c>
      <c r="C205" s="7" t="s">
        <v>273</v>
      </c>
      <c r="D205" s="6" t="s">
        <v>1190</v>
      </c>
      <c r="E205" s="6" t="s">
        <v>1191</v>
      </c>
      <c r="F205" s="6" t="s">
        <v>40</v>
      </c>
      <c r="G205" s="6" t="s">
        <v>55</v>
      </c>
      <c r="H205" s="6" t="s">
        <v>613</v>
      </c>
      <c r="I205" s="7" t="s">
        <v>1179</v>
      </c>
      <c r="J205" s="7" t="s">
        <v>1179</v>
      </c>
      <c r="K205" s="6">
        <v>1</v>
      </c>
      <c r="L205" s="6" t="s">
        <v>43</v>
      </c>
      <c r="M205" s="8">
        <v>7440</v>
      </c>
      <c r="N205" s="6" t="s">
        <v>1193</v>
      </c>
      <c r="O205" s="24">
        <v>1</v>
      </c>
      <c r="P205" s="8">
        <v>7440</v>
      </c>
      <c r="Q205" s="6" t="s">
        <v>1193</v>
      </c>
      <c r="R205" s="6" t="s">
        <v>1187</v>
      </c>
      <c r="S205" s="6" t="s">
        <v>943</v>
      </c>
      <c r="T205" s="10" t="s">
        <v>1194</v>
      </c>
      <c r="U205" s="10" t="s">
        <v>1195</v>
      </c>
      <c r="V205" s="6" t="s">
        <v>59</v>
      </c>
      <c r="W205" s="8">
        <v>1482713.48</v>
      </c>
      <c r="X205" s="6" t="s">
        <v>58</v>
      </c>
    </row>
    <row r="206" spans="1:25" s="44" customFormat="1" ht="289.8">
      <c r="A206" s="37" t="s">
        <v>39</v>
      </c>
      <c r="B206" s="38" t="s">
        <v>1142</v>
      </c>
      <c r="C206" s="38" t="s">
        <v>192</v>
      </c>
      <c r="D206" s="37" t="s">
        <v>3459</v>
      </c>
      <c r="E206" s="37" t="s">
        <v>3460</v>
      </c>
      <c r="F206" s="37" t="s">
        <v>2880</v>
      </c>
      <c r="G206" s="37" t="s">
        <v>55</v>
      </c>
      <c r="H206" s="37" t="s">
        <v>3461</v>
      </c>
      <c r="I206" s="38" t="s">
        <v>3429</v>
      </c>
      <c r="J206" s="38" t="s">
        <v>1205</v>
      </c>
      <c r="K206" s="37">
        <v>4</v>
      </c>
      <c r="L206" s="37" t="s">
        <v>2998</v>
      </c>
      <c r="M206" s="39">
        <v>135000</v>
      </c>
      <c r="N206" s="37" t="s">
        <v>3462</v>
      </c>
      <c r="O206" s="40">
        <v>1</v>
      </c>
      <c r="P206" s="39">
        <v>70000</v>
      </c>
      <c r="Q206" s="37" t="s">
        <v>3463</v>
      </c>
      <c r="R206" s="37" t="s">
        <v>3464</v>
      </c>
      <c r="S206" s="37" t="s">
        <v>3465</v>
      </c>
      <c r="T206" s="41" t="s">
        <v>3466</v>
      </c>
      <c r="U206" s="41" t="s">
        <v>3467</v>
      </c>
      <c r="V206" s="37" t="s">
        <v>59</v>
      </c>
      <c r="W206" s="39">
        <v>135000</v>
      </c>
      <c r="X206" s="37" t="s">
        <v>74</v>
      </c>
      <c r="Y206" s="37"/>
    </row>
    <row r="207" spans="1:25" s="43" customFormat="1" ht="193.2">
      <c r="A207" s="37" t="s">
        <v>39</v>
      </c>
      <c r="B207" s="37">
        <v>14</v>
      </c>
      <c r="C207" s="38" t="s">
        <v>201</v>
      </c>
      <c r="D207" s="37" t="s">
        <v>3468</v>
      </c>
      <c r="E207" s="37" t="s">
        <v>3414</v>
      </c>
      <c r="F207" s="37" t="s">
        <v>1568</v>
      </c>
      <c r="G207" s="37" t="s">
        <v>55</v>
      </c>
      <c r="H207" s="37" t="s">
        <v>158</v>
      </c>
      <c r="I207" s="38" t="s">
        <v>1157</v>
      </c>
      <c r="J207" s="38" t="s">
        <v>1179</v>
      </c>
      <c r="K207" s="37">
        <v>1</v>
      </c>
      <c r="L207" s="37" t="s">
        <v>1589</v>
      </c>
      <c r="M207" s="39">
        <v>2510</v>
      </c>
      <c r="N207" s="37" t="s">
        <v>3470</v>
      </c>
      <c r="O207" s="40">
        <v>1</v>
      </c>
      <c r="P207" s="39">
        <v>2510</v>
      </c>
      <c r="Q207" s="37" t="s">
        <v>3470</v>
      </c>
      <c r="R207" s="37" t="s">
        <v>3391</v>
      </c>
      <c r="S207" s="37" t="s">
        <v>3392</v>
      </c>
      <c r="T207" s="41" t="s">
        <v>3471</v>
      </c>
      <c r="U207" s="41" t="s">
        <v>3472</v>
      </c>
      <c r="V207" s="37" t="s">
        <v>59</v>
      </c>
      <c r="W207" s="39">
        <v>771453.5</v>
      </c>
      <c r="X207" s="37" t="s">
        <v>74</v>
      </c>
      <c r="Y207" s="37"/>
    </row>
    <row r="208" spans="1:25" s="43" customFormat="1" ht="193.2">
      <c r="A208" s="37" t="s">
        <v>39</v>
      </c>
      <c r="B208" s="37">
        <v>14</v>
      </c>
      <c r="C208" s="38" t="s">
        <v>201</v>
      </c>
      <c r="D208" s="37" t="s">
        <v>3468</v>
      </c>
      <c r="E208" s="37" t="s">
        <v>3414</v>
      </c>
      <c r="F208" s="37" t="s">
        <v>1568</v>
      </c>
      <c r="G208" s="37" t="s">
        <v>55</v>
      </c>
      <c r="H208" s="37" t="s">
        <v>158</v>
      </c>
      <c r="I208" s="38" t="s">
        <v>1129</v>
      </c>
      <c r="J208" s="38" t="s">
        <v>1198</v>
      </c>
      <c r="K208" s="37">
        <v>1</v>
      </c>
      <c r="L208" s="37" t="s">
        <v>1589</v>
      </c>
      <c r="M208" s="39">
        <v>680</v>
      </c>
      <c r="N208" s="37" t="s">
        <v>3473</v>
      </c>
      <c r="O208" s="40">
        <v>1</v>
      </c>
      <c r="P208" s="39">
        <v>680</v>
      </c>
      <c r="Q208" s="37" t="s">
        <v>3473</v>
      </c>
      <c r="R208" s="37" t="s">
        <v>3391</v>
      </c>
      <c r="S208" s="37" t="s">
        <v>3392</v>
      </c>
      <c r="T208" s="41" t="s">
        <v>3474</v>
      </c>
      <c r="U208" s="41" t="s">
        <v>3475</v>
      </c>
      <c r="V208" s="37" t="s">
        <v>59</v>
      </c>
      <c r="W208" s="39">
        <v>44759.1</v>
      </c>
      <c r="X208" s="37" t="s">
        <v>74</v>
      </c>
      <c r="Y208" s="37"/>
    </row>
    <row r="209" spans="1:25" s="43" customFormat="1" ht="193.2">
      <c r="A209" s="37" t="s">
        <v>39</v>
      </c>
      <c r="B209" s="37">
        <v>14</v>
      </c>
      <c r="C209" s="38" t="s">
        <v>201</v>
      </c>
      <c r="D209" s="37" t="s">
        <v>3468</v>
      </c>
      <c r="E209" s="37" t="s">
        <v>3469</v>
      </c>
      <c r="F209" s="37" t="s">
        <v>1568</v>
      </c>
      <c r="G209" s="37" t="s">
        <v>55</v>
      </c>
      <c r="H209" s="37" t="s">
        <v>137</v>
      </c>
      <c r="I209" s="38" t="s">
        <v>1716</v>
      </c>
      <c r="J209" s="38" t="s">
        <v>1982</v>
      </c>
      <c r="K209" s="37">
        <v>1</v>
      </c>
      <c r="L209" s="37" t="s">
        <v>1589</v>
      </c>
      <c r="M209" s="39">
        <v>1000</v>
      </c>
      <c r="N209" s="37" t="s">
        <v>3476</v>
      </c>
      <c r="O209" s="40">
        <v>1</v>
      </c>
      <c r="P209" s="39">
        <v>1000</v>
      </c>
      <c r="Q209" s="37" t="s">
        <v>3476</v>
      </c>
      <c r="R209" s="37" t="s">
        <v>3391</v>
      </c>
      <c r="S209" s="37" t="s">
        <v>3392</v>
      </c>
      <c r="T209" s="41" t="s">
        <v>3477</v>
      </c>
      <c r="U209" s="41" t="s">
        <v>3478</v>
      </c>
      <c r="V209" s="37" t="s">
        <v>59</v>
      </c>
      <c r="W209" s="39">
        <v>282264</v>
      </c>
      <c r="X209" s="37" t="s">
        <v>74</v>
      </c>
      <c r="Y209" s="37"/>
    </row>
    <row r="210" spans="1:25" s="43" customFormat="1" ht="220.8">
      <c r="A210" s="37" t="s">
        <v>39</v>
      </c>
      <c r="B210" s="37">
        <v>14</v>
      </c>
      <c r="C210" s="38" t="s">
        <v>201</v>
      </c>
      <c r="D210" s="37" t="s">
        <v>3468</v>
      </c>
      <c r="E210" s="37" t="s">
        <v>3479</v>
      </c>
      <c r="F210" s="37" t="s">
        <v>1568</v>
      </c>
      <c r="G210" s="37" t="s">
        <v>55</v>
      </c>
      <c r="H210" s="37" t="s">
        <v>158</v>
      </c>
      <c r="I210" s="38" t="s">
        <v>1713</v>
      </c>
      <c r="J210" s="38" t="s">
        <v>1713</v>
      </c>
      <c r="K210" s="37">
        <v>1</v>
      </c>
      <c r="L210" s="37" t="s">
        <v>1589</v>
      </c>
      <c r="M210" s="39">
        <v>1080</v>
      </c>
      <c r="N210" s="37" t="s">
        <v>3480</v>
      </c>
      <c r="O210" s="40">
        <v>1</v>
      </c>
      <c r="P210" s="39">
        <v>1080</v>
      </c>
      <c r="Q210" s="37" t="s">
        <v>3480</v>
      </c>
      <c r="R210" s="37" t="s">
        <v>3391</v>
      </c>
      <c r="S210" s="37" t="s">
        <v>3392</v>
      </c>
      <c r="T210" s="41" t="s">
        <v>3481</v>
      </c>
      <c r="U210" s="41" t="s">
        <v>3482</v>
      </c>
      <c r="V210" s="37" t="s">
        <v>59</v>
      </c>
      <c r="W210" s="39">
        <v>192427.61</v>
      </c>
      <c r="X210" s="37" t="s">
        <v>74</v>
      </c>
      <c r="Y210" s="37"/>
    </row>
    <row r="211" spans="1:25" s="6" customFormat="1" ht="276">
      <c r="A211" s="6" t="s">
        <v>39</v>
      </c>
      <c r="B211" s="7" t="s">
        <v>1142</v>
      </c>
      <c r="C211" s="7" t="s">
        <v>285</v>
      </c>
      <c r="D211" s="6" t="s">
        <v>1196</v>
      </c>
      <c r="E211" s="6" t="s">
        <v>1197</v>
      </c>
      <c r="F211" s="6" t="s">
        <v>40</v>
      </c>
      <c r="G211" s="6" t="s">
        <v>55</v>
      </c>
      <c r="H211" s="6" t="s">
        <v>158</v>
      </c>
      <c r="I211" s="7" t="s">
        <v>1198</v>
      </c>
      <c r="J211" s="7" t="s">
        <v>1198</v>
      </c>
      <c r="K211" s="6" t="s">
        <v>1199</v>
      </c>
      <c r="L211" s="6" t="s">
        <v>43</v>
      </c>
      <c r="M211" s="8">
        <v>10125</v>
      </c>
      <c r="N211" s="6" t="s">
        <v>1200</v>
      </c>
      <c r="O211" s="24">
        <v>1</v>
      </c>
      <c r="P211" s="8">
        <v>10125</v>
      </c>
      <c r="Q211" s="6" t="s">
        <v>1200</v>
      </c>
      <c r="R211" s="6" t="s">
        <v>291</v>
      </c>
      <c r="S211" s="6" t="s">
        <v>943</v>
      </c>
      <c r="T211" s="10" t="s">
        <v>1201</v>
      </c>
      <c r="U211" s="10" t="s">
        <v>1202</v>
      </c>
      <c r="V211" s="6" t="s">
        <v>59</v>
      </c>
      <c r="W211" s="8">
        <v>24410626.390000001</v>
      </c>
      <c r="X211" s="6" t="s">
        <v>58</v>
      </c>
    </row>
    <row r="212" spans="1:25" s="43" customFormat="1" ht="234.6">
      <c r="A212" s="37" t="s">
        <v>39</v>
      </c>
      <c r="B212" s="37">
        <v>14</v>
      </c>
      <c r="C212" s="38" t="s">
        <v>295</v>
      </c>
      <c r="D212" s="37" t="s">
        <v>3483</v>
      </c>
      <c r="E212" s="37" t="s">
        <v>3484</v>
      </c>
      <c r="F212" s="37" t="s">
        <v>1568</v>
      </c>
      <c r="G212" s="37" t="s">
        <v>55</v>
      </c>
      <c r="H212" s="37" t="s">
        <v>158</v>
      </c>
      <c r="I212" s="38" t="s">
        <v>1198</v>
      </c>
      <c r="J212" s="38" t="s">
        <v>1198</v>
      </c>
      <c r="K212" s="37" t="s">
        <v>1199</v>
      </c>
      <c r="L212" s="37" t="s">
        <v>1589</v>
      </c>
      <c r="M212" s="39">
        <v>1435</v>
      </c>
      <c r="N212" s="37" t="s">
        <v>3485</v>
      </c>
      <c r="O212" s="40">
        <v>1</v>
      </c>
      <c r="P212" s="39">
        <v>1435</v>
      </c>
      <c r="Q212" s="37" t="s">
        <v>3485</v>
      </c>
      <c r="R212" s="37" t="s">
        <v>3486</v>
      </c>
      <c r="S212" s="37" t="s">
        <v>3487</v>
      </c>
      <c r="T212" s="41" t="s">
        <v>3488</v>
      </c>
      <c r="U212" s="41" t="s">
        <v>3489</v>
      </c>
      <c r="V212" s="37" t="s">
        <v>59</v>
      </c>
      <c r="W212" s="39">
        <v>369415.4</v>
      </c>
      <c r="X212" s="37" t="s">
        <v>74</v>
      </c>
      <c r="Y212" s="37"/>
    </row>
    <row r="213" spans="1:25" s="6" customFormat="1" ht="234.6">
      <c r="A213" s="6" t="s">
        <v>39</v>
      </c>
      <c r="B213" s="7" t="s">
        <v>1142</v>
      </c>
      <c r="C213" s="7" t="s">
        <v>305</v>
      </c>
      <c r="D213" s="6" t="s">
        <v>1203</v>
      </c>
      <c r="E213" s="6" t="s">
        <v>1204</v>
      </c>
      <c r="F213" s="6" t="s">
        <v>40</v>
      </c>
      <c r="G213" s="6" t="s">
        <v>55</v>
      </c>
      <c r="H213" s="6" t="s">
        <v>158</v>
      </c>
      <c r="I213" s="7" t="s">
        <v>1205</v>
      </c>
      <c r="J213" s="7" t="s">
        <v>1205</v>
      </c>
      <c r="K213" s="6" t="s">
        <v>1171</v>
      </c>
      <c r="L213" s="6" t="s">
        <v>43</v>
      </c>
      <c r="M213" s="8">
        <v>910</v>
      </c>
      <c r="N213" s="6" t="s">
        <v>1206</v>
      </c>
      <c r="O213" s="24">
        <v>1</v>
      </c>
      <c r="P213" s="8">
        <v>910</v>
      </c>
      <c r="Q213" s="6" t="s">
        <v>1206</v>
      </c>
      <c r="R213" s="6" t="s">
        <v>1207</v>
      </c>
      <c r="S213" s="6" t="s">
        <v>1208</v>
      </c>
      <c r="T213" s="10" t="s">
        <v>1209</v>
      </c>
      <c r="U213" s="10" t="s">
        <v>1210</v>
      </c>
      <c r="V213" s="6" t="s">
        <v>59</v>
      </c>
      <c r="W213" s="8">
        <v>910</v>
      </c>
      <c r="X213" s="6" t="s">
        <v>58</v>
      </c>
    </row>
    <row r="214" spans="1:25" s="6" customFormat="1" ht="207">
      <c r="A214" s="6" t="s">
        <v>39</v>
      </c>
      <c r="B214" s="7" t="s">
        <v>1142</v>
      </c>
      <c r="C214" s="7" t="s">
        <v>314</v>
      </c>
      <c r="D214" s="6" t="s">
        <v>67</v>
      </c>
      <c r="E214" s="6" t="s">
        <v>1211</v>
      </c>
      <c r="F214" s="6" t="s">
        <v>40</v>
      </c>
      <c r="G214" s="6" t="s">
        <v>55</v>
      </c>
      <c r="H214" s="6" t="s">
        <v>768</v>
      </c>
      <c r="I214" s="7" t="s">
        <v>1170</v>
      </c>
      <c r="J214" s="7" t="s">
        <v>1170</v>
      </c>
      <c r="K214" s="6">
        <v>1</v>
      </c>
      <c r="L214" s="6" t="s">
        <v>43</v>
      </c>
      <c r="M214" s="8">
        <v>22100</v>
      </c>
      <c r="N214" s="6" t="s">
        <v>1232</v>
      </c>
      <c r="O214" s="24">
        <v>1</v>
      </c>
      <c r="P214" s="8">
        <v>22100</v>
      </c>
      <c r="Q214" s="6" t="s">
        <v>1232</v>
      </c>
      <c r="R214" s="6" t="s">
        <v>1212</v>
      </c>
      <c r="S214" s="6" t="s">
        <v>1213</v>
      </c>
      <c r="T214" s="10" t="s">
        <v>1214</v>
      </c>
      <c r="U214" s="10" t="s">
        <v>1215</v>
      </c>
      <c r="V214" s="6" t="s">
        <v>59</v>
      </c>
      <c r="W214" s="8">
        <v>26741</v>
      </c>
      <c r="X214" s="6" t="s">
        <v>74</v>
      </c>
    </row>
    <row r="215" spans="1:25" s="6" customFormat="1" ht="262.2">
      <c r="A215" s="6" t="s">
        <v>39</v>
      </c>
      <c r="B215" s="7" t="s">
        <v>1142</v>
      </c>
      <c r="C215" s="7" t="s">
        <v>323</v>
      </c>
      <c r="D215" s="6" t="s">
        <v>1216</v>
      </c>
      <c r="E215" s="6" t="s">
        <v>1217</v>
      </c>
      <c r="F215" s="6" t="s">
        <v>40</v>
      </c>
      <c r="G215" s="6" t="s">
        <v>55</v>
      </c>
      <c r="H215" s="6" t="s">
        <v>1069</v>
      </c>
      <c r="I215" s="7" t="s">
        <v>1170</v>
      </c>
      <c r="J215" s="7" t="s">
        <v>1170</v>
      </c>
      <c r="K215" s="6" t="s">
        <v>1199</v>
      </c>
      <c r="L215" s="6" t="s">
        <v>43</v>
      </c>
      <c r="M215" s="8">
        <v>6580</v>
      </c>
      <c r="N215" s="6" t="s">
        <v>1218</v>
      </c>
      <c r="O215" s="24">
        <v>1</v>
      </c>
      <c r="P215" s="8">
        <v>6580</v>
      </c>
      <c r="Q215" s="6" t="s">
        <v>1218</v>
      </c>
      <c r="R215" s="6" t="s">
        <v>387</v>
      </c>
      <c r="S215" s="6" t="s">
        <v>943</v>
      </c>
      <c r="T215" s="10" t="s">
        <v>1219</v>
      </c>
      <c r="U215" s="10" t="s">
        <v>1220</v>
      </c>
      <c r="V215" s="6" t="s">
        <v>59</v>
      </c>
      <c r="W215" s="8">
        <v>4371898.5</v>
      </c>
      <c r="X215" s="6" t="s">
        <v>58</v>
      </c>
    </row>
    <row r="216" spans="1:25" s="6" customFormat="1" ht="372.6">
      <c r="A216" s="6" t="s">
        <v>39</v>
      </c>
      <c r="B216" s="7" t="s">
        <v>1142</v>
      </c>
      <c r="C216" s="7" t="s">
        <v>330</v>
      </c>
      <c r="D216" s="6" t="s">
        <v>1221</v>
      </c>
      <c r="E216" s="6" t="s">
        <v>1222</v>
      </c>
      <c r="F216" s="6" t="s">
        <v>40</v>
      </c>
      <c r="G216" s="6" t="s">
        <v>41</v>
      </c>
      <c r="H216" s="6" t="s">
        <v>42</v>
      </c>
      <c r="I216" s="7" t="s">
        <v>1170</v>
      </c>
      <c r="J216" s="7" t="s">
        <v>1223</v>
      </c>
      <c r="K216" s="6">
        <v>7</v>
      </c>
      <c r="L216" s="6" t="s">
        <v>43</v>
      </c>
      <c r="M216" s="8">
        <v>62531.199999999997</v>
      </c>
      <c r="N216" s="6" t="s">
        <v>1224</v>
      </c>
      <c r="O216" s="24">
        <v>1</v>
      </c>
      <c r="P216" s="8">
        <v>62531.199999999997</v>
      </c>
      <c r="Q216" s="6" t="s">
        <v>1224</v>
      </c>
      <c r="R216" s="6" t="s">
        <v>1225</v>
      </c>
      <c r="S216" s="6" t="s">
        <v>1226</v>
      </c>
      <c r="T216" s="10" t="s">
        <v>1227</v>
      </c>
      <c r="U216" s="10" t="s">
        <v>1228</v>
      </c>
      <c r="V216" s="6">
        <v>4.3899999999999997</v>
      </c>
      <c r="W216" s="6" t="s">
        <v>1229</v>
      </c>
      <c r="X216" s="6" t="s">
        <v>58</v>
      </c>
    </row>
    <row r="217" spans="1:25" s="42" customFormat="1" ht="193.2">
      <c r="A217" s="37" t="s">
        <v>39</v>
      </c>
      <c r="B217" s="38" t="s">
        <v>1142</v>
      </c>
      <c r="C217" s="38" t="s">
        <v>340</v>
      </c>
      <c r="D217" s="37" t="s">
        <v>3490</v>
      </c>
      <c r="E217" s="37" t="s">
        <v>3491</v>
      </c>
      <c r="F217" s="37" t="s">
        <v>1278</v>
      </c>
      <c r="G217" s="37" t="s">
        <v>55</v>
      </c>
      <c r="H217" s="37" t="s">
        <v>158</v>
      </c>
      <c r="I217" s="38" t="s">
        <v>1170</v>
      </c>
      <c r="J217" s="38" t="s">
        <v>1170</v>
      </c>
      <c r="K217" s="37" t="s">
        <v>1199</v>
      </c>
      <c r="L217" s="37" t="s">
        <v>43</v>
      </c>
      <c r="M217" s="39">
        <v>2000</v>
      </c>
      <c r="N217" s="37" t="s">
        <v>3423</v>
      </c>
      <c r="O217" s="40">
        <v>1</v>
      </c>
      <c r="P217" s="39">
        <v>2000</v>
      </c>
      <c r="Q217" s="37" t="s">
        <v>3423</v>
      </c>
      <c r="R217" s="37" t="s">
        <v>1509</v>
      </c>
      <c r="S217" s="37" t="s">
        <v>3492</v>
      </c>
      <c r="T217" s="41" t="s">
        <v>3493</v>
      </c>
      <c r="U217" s="41" t="s">
        <v>3494</v>
      </c>
      <c r="V217" s="37" t="s">
        <v>59</v>
      </c>
      <c r="W217" s="39">
        <v>2000</v>
      </c>
      <c r="X217" s="37" t="s">
        <v>74</v>
      </c>
      <c r="Y217" s="37"/>
    </row>
    <row r="218" spans="1:25" s="6" customFormat="1" ht="207">
      <c r="A218" s="6" t="s">
        <v>39</v>
      </c>
      <c r="B218" s="7" t="s">
        <v>1142</v>
      </c>
      <c r="C218" s="7" t="s">
        <v>348</v>
      </c>
      <c r="D218" s="6" t="s">
        <v>1230</v>
      </c>
      <c r="E218" s="6" t="s">
        <v>1231</v>
      </c>
      <c r="F218" s="6" t="s">
        <v>40</v>
      </c>
      <c r="G218" s="6" t="s">
        <v>55</v>
      </c>
      <c r="H218" s="6" t="s">
        <v>768</v>
      </c>
      <c r="I218" s="7" t="s">
        <v>1170</v>
      </c>
      <c r="J218" s="7" t="s">
        <v>1170</v>
      </c>
      <c r="K218" s="6" t="s">
        <v>1199</v>
      </c>
      <c r="L218" s="6" t="s">
        <v>43</v>
      </c>
      <c r="M218" s="8">
        <v>7500</v>
      </c>
      <c r="N218" s="6" t="s">
        <v>1233</v>
      </c>
      <c r="O218" s="24">
        <v>1</v>
      </c>
      <c r="P218" s="8">
        <v>7500</v>
      </c>
      <c r="Q218" s="6" t="s">
        <v>1233</v>
      </c>
      <c r="R218" s="6" t="s">
        <v>1212</v>
      </c>
      <c r="S218" s="6" t="s">
        <v>1213</v>
      </c>
      <c r="T218" s="10" t="s">
        <v>1234</v>
      </c>
      <c r="U218" s="10" t="s">
        <v>1235</v>
      </c>
      <c r="V218" s="6" t="s">
        <v>59</v>
      </c>
      <c r="W218" s="8">
        <v>7500</v>
      </c>
      <c r="X218" s="6" t="s">
        <v>74</v>
      </c>
    </row>
    <row r="219" spans="1:25" s="6" customFormat="1" ht="193.2">
      <c r="A219" s="6" t="s">
        <v>39</v>
      </c>
      <c r="B219" s="7" t="s">
        <v>1142</v>
      </c>
      <c r="C219" s="7" t="s">
        <v>358</v>
      </c>
      <c r="D219" s="6" t="s">
        <v>1236</v>
      </c>
      <c r="E219" s="6" t="s">
        <v>1237</v>
      </c>
      <c r="F219" s="6" t="s">
        <v>40</v>
      </c>
      <c r="G219" s="6" t="s">
        <v>55</v>
      </c>
      <c r="H219" s="6" t="s">
        <v>1238</v>
      </c>
      <c r="I219" s="7" t="s">
        <v>1239</v>
      </c>
      <c r="J219" s="7" t="s">
        <v>1240</v>
      </c>
      <c r="K219" s="6">
        <v>2</v>
      </c>
      <c r="L219" s="6" t="s">
        <v>43</v>
      </c>
      <c r="M219" s="8">
        <v>23600</v>
      </c>
      <c r="N219" s="6" t="s">
        <v>1241</v>
      </c>
      <c r="O219" s="24">
        <v>1</v>
      </c>
      <c r="P219" s="8">
        <v>23600</v>
      </c>
      <c r="Q219" s="6" t="s">
        <v>1241</v>
      </c>
      <c r="R219" s="6" t="s">
        <v>628</v>
      </c>
      <c r="S219" s="6" t="s">
        <v>871</v>
      </c>
      <c r="T219" s="10" t="s">
        <v>1242</v>
      </c>
      <c r="U219" s="10" t="s">
        <v>1243</v>
      </c>
      <c r="V219" s="6" t="s">
        <v>59</v>
      </c>
      <c r="W219" s="8">
        <v>23600</v>
      </c>
      <c r="X219" s="6" t="s">
        <v>74</v>
      </c>
    </row>
    <row r="220" spans="1:25" s="43" customFormat="1" ht="124.2">
      <c r="A220" s="37" t="s">
        <v>39</v>
      </c>
      <c r="B220" s="37">
        <v>14</v>
      </c>
      <c r="C220" s="38" t="s">
        <v>494</v>
      </c>
      <c r="D220" s="37" t="s">
        <v>3495</v>
      </c>
      <c r="E220" s="37" t="s">
        <v>3414</v>
      </c>
      <c r="F220" s="37" t="s">
        <v>1568</v>
      </c>
      <c r="G220" s="37" t="s">
        <v>55</v>
      </c>
      <c r="H220" s="37" t="s">
        <v>158</v>
      </c>
      <c r="I220" s="38" t="s">
        <v>1170</v>
      </c>
      <c r="J220" s="38" t="s">
        <v>1239</v>
      </c>
      <c r="K220" s="37" t="s">
        <v>1199</v>
      </c>
      <c r="L220" s="37" t="s">
        <v>1589</v>
      </c>
      <c r="M220" s="39">
        <v>570</v>
      </c>
      <c r="N220" s="37" t="s">
        <v>3496</v>
      </c>
      <c r="O220" s="40">
        <v>1</v>
      </c>
      <c r="P220" s="39">
        <v>570</v>
      </c>
      <c r="Q220" s="37" t="s">
        <v>3496</v>
      </c>
      <c r="R220" s="37" t="s">
        <v>3497</v>
      </c>
      <c r="S220" s="37" t="s">
        <v>3498</v>
      </c>
      <c r="T220" s="41" t="s">
        <v>3501</v>
      </c>
      <c r="U220" s="41" t="s">
        <v>3499</v>
      </c>
      <c r="V220" s="37" t="s">
        <v>59</v>
      </c>
      <c r="W220" s="39">
        <v>146248.76999999999</v>
      </c>
      <c r="X220" s="37" t="s">
        <v>74</v>
      </c>
      <c r="Y220" s="37"/>
    </row>
    <row r="221" spans="1:25" s="43" customFormat="1" ht="124.2">
      <c r="A221" s="37" t="s">
        <v>39</v>
      </c>
      <c r="B221" s="37">
        <v>14</v>
      </c>
      <c r="C221" s="38" t="s">
        <v>494</v>
      </c>
      <c r="D221" s="37" t="s">
        <v>3495</v>
      </c>
      <c r="E221" s="37" t="s">
        <v>3414</v>
      </c>
      <c r="F221" s="37" t="s">
        <v>1568</v>
      </c>
      <c r="G221" s="37" t="s">
        <v>55</v>
      </c>
      <c r="H221" s="37" t="s">
        <v>158</v>
      </c>
      <c r="I221" s="38" t="s">
        <v>1477</v>
      </c>
      <c r="J221" s="38" t="s">
        <v>1477</v>
      </c>
      <c r="K221" s="37" t="s">
        <v>1171</v>
      </c>
      <c r="L221" s="37" t="s">
        <v>1589</v>
      </c>
      <c r="M221" s="39">
        <v>460</v>
      </c>
      <c r="N221" s="37" t="s">
        <v>3500</v>
      </c>
      <c r="O221" s="40">
        <v>1</v>
      </c>
      <c r="P221" s="39">
        <v>460</v>
      </c>
      <c r="Q221" s="37" t="s">
        <v>3500</v>
      </c>
      <c r="R221" s="37" t="s">
        <v>3497</v>
      </c>
      <c r="S221" s="37" t="s">
        <v>3498</v>
      </c>
      <c r="T221" s="41" t="s">
        <v>3502</v>
      </c>
      <c r="U221" s="41" t="s">
        <v>3503</v>
      </c>
      <c r="V221" s="37" t="s">
        <v>59</v>
      </c>
      <c r="W221" s="39">
        <v>146248.76999999999</v>
      </c>
      <c r="X221" s="37" t="s">
        <v>74</v>
      </c>
      <c r="Y221" s="37"/>
    </row>
    <row r="222" spans="1:25" s="6" customFormat="1" ht="331.2">
      <c r="A222" s="6" t="s">
        <v>39</v>
      </c>
      <c r="B222" s="7" t="s">
        <v>1142</v>
      </c>
      <c r="C222" s="7" t="s">
        <v>505</v>
      </c>
      <c r="D222" s="6" t="s">
        <v>1244</v>
      </c>
      <c r="E222" s="6" t="s">
        <v>1245</v>
      </c>
      <c r="F222" s="6" t="s">
        <v>40</v>
      </c>
      <c r="G222" s="6" t="s">
        <v>53</v>
      </c>
      <c r="H222" s="6" t="s">
        <v>1246</v>
      </c>
      <c r="I222" s="7" t="s">
        <v>1239</v>
      </c>
      <c r="J222" s="7" t="s">
        <v>1240</v>
      </c>
      <c r="K222" s="6">
        <v>1</v>
      </c>
      <c r="L222" s="6" t="s">
        <v>43</v>
      </c>
      <c r="M222" s="8">
        <v>34575</v>
      </c>
      <c r="N222" s="6" t="s">
        <v>1247</v>
      </c>
      <c r="O222" s="24">
        <v>1</v>
      </c>
      <c r="P222" s="8">
        <v>34575</v>
      </c>
      <c r="Q222" s="6" t="s">
        <v>1247</v>
      </c>
      <c r="R222" s="6" t="s">
        <v>387</v>
      </c>
      <c r="S222" s="6" t="s">
        <v>1248</v>
      </c>
      <c r="T222" s="10" t="s">
        <v>1249</v>
      </c>
      <c r="U222" s="10" t="s">
        <v>1250</v>
      </c>
    </row>
    <row r="223" spans="1:25" s="6" customFormat="1" ht="207">
      <c r="A223" s="6" t="s">
        <v>39</v>
      </c>
      <c r="B223" s="7" t="s">
        <v>1142</v>
      </c>
      <c r="C223" s="7" t="s">
        <v>514</v>
      </c>
      <c r="D223" s="6" t="s">
        <v>1251</v>
      </c>
      <c r="E223" s="6" t="s">
        <v>1252</v>
      </c>
      <c r="F223" s="6" t="s">
        <v>40</v>
      </c>
      <c r="G223" s="6" t="s">
        <v>55</v>
      </c>
      <c r="H223" s="6" t="s">
        <v>768</v>
      </c>
      <c r="I223" s="7" t="s">
        <v>1239</v>
      </c>
      <c r="J223" s="7" t="s">
        <v>1240</v>
      </c>
      <c r="K223" s="6">
        <v>1</v>
      </c>
      <c r="L223" s="6" t="s">
        <v>43</v>
      </c>
      <c r="M223" s="8">
        <v>26080</v>
      </c>
      <c r="N223" s="6" t="s">
        <v>1253</v>
      </c>
      <c r="O223" s="24">
        <v>1</v>
      </c>
      <c r="P223" s="8">
        <v>26080</v>
      </c>
      <c r="Q223" s="6" t="s">
        <v>1253</v>
      </c>
      <c r="R223" s="6" t="s">
        <v>1212</v>
      </c>
      <c r="S223" s="6" t="s">
        <v>1213</v>
      </c>
      <c r="T223" s="10" t="s">
        <v>1254</v>
      </c>
      <c r="U223" s="10" t="s">
        <v>1255</v>
      </c>
      <c r="V223" s="6" t="s">
        <v>59</v>
      </c>
      <c r="W223" s="8">
        <v>26080</v>
      </c>
      <c r="X223" s="6" t="s">
        <v>74</v>
      </c>
    </row>
    <row r="224" spans="1:25" s="6" customFormat="1" ht="179.4">
      <c r="A224" s="6" t="s">
        <v>39</v>
      </c>
      <c r="B224" s="7" t="s">
        <v>1142</v>
      </c>
      <c r="C224" s="7" t="s">
        <v>522</v>
      </c>
      <c r="D224" s="6" t="s">
        <v>1256</v>
      </c>
      <c r="E224" s="6" t="s">
        <v>1257</v>
      </c>
      <c r="F224" s="6" t="s">
        <v>40</v>
      </c>
      <c r="G224" s="6" t="s">
        <v>55</v>
      </c>
      <c r="H224" s="6" t="s">
        <v>1238</v>
      </c>
      <c r="I224" s="7" t="s">
        <v>1205</v>
      </c>
      <c r="J224" s="7" t="s">
        <v>869</v>
      </c>
      <c r="K224" s="6">
        <v>3</v>
      </c>
      <c r="L224" s="6" t="s">
        <v>43</v>
      </c>
      <c r="M224" s="8">
        <v>27342</v>
      </c>
      <c r="N224" s="6" t="s">
        <v>1258</v>
      </c>
      <c r="O224" s="24">
        <v>1</v>
      </c>
      <c r="P224" s="8">
        <v>27342</v>
      </c>
      <c r="Q224" s="6" t="s">
        <v>1258</v>
      </c>
      <c r="R224" s="6" t="s">
        <v>628</v>
      </c>
      <c r="S224" s="6" t="s">
        <v>871</v>
      </c>
      <c r="T224" s="10" t="s">
        <v>1259</v>
      </c>
      <c r="U224" s="10" t="s">
        <v>1260</v>
      </c>
      <c r="V224" s="6" t="s">
        <v>59</v>
      </c>
      <c r="W224" s="8">
        <v>27342</v>
      </c>
      <c r="X224" s="6" t="s">
        <v>74</v>
      </c>
    </row>
    <row r="225" spans="1:25" s="6" customFormat="1" ht="289.8">
      <c r="A225" s="6" t="s">
        <v>39</v>
      </c>
      <c r="B225" s="7" t="s">
        <v>1142</v>
      </c>
      <c r="C225" s="7" t="s">
        <v>528</v>
      </c>
      <c r="D225" s="6" t="s">
        <v>1261</v>
      </c>
      <c r="E225" s="6" t="s">
        <v>1262</v>
      </c>
      <c r="F225" s="6" t="s">
        <v>40</v>
      </c>
      <c r="G225" s="6" t="s">
        <v>55</v>
      </c>
      <c r="H225" s="6" t="s">
        <v>1238</v>
      </c>
      <c r="I225" s="7" t="s">
        <v>1205</v>
      </c>
      <c r="J225" s="7" t="s">
        <v>869</v>
      </c>
      <c r="K225" s="6">
        <v>3</v>
      </c>
      <c r="L225" s="6" t="s">
        <v>43</v>
      </c>
      <c r="M225" s="8">
        <v>57190</v>
      </c>
      <c r="N225" s="6" t="s">
        <v>1263</v>
      </c>
      <c r="O225" s="24">
        <v>1</v>
      </c>
      <c r="P225" s="8">
        <v>57190</v>
      </c>
      <c r="Q225" s="6" t="s">
        <v>1263</v>
      </c>
      <c r="R225" s="6" t="s">
        <v>628</v>
      </c>
      <c r="S225" s="6" t="s">
        <v>871</v>
      </c>
      <c r="T225" s="10" t="s">
        <v>1264</v>
      </c>
      <c r="U225" s="10" t="s">
        <v>1265</v>
      </c>
      <c r="V225" s="6" t="s">
        <v>59</v>
      </c>
      <c r="W225" s="8">
        <v>57190</v>
      </c>
      <c r="X225" s="6" t="s">
        <v>74</v>
      </c>
    </row>
    <row r="226" spans="1:25" s="6" customFormat="1" ht="207">
      <c r="A226" s="6" t="s">
        <v>39</v>
      </c>
      <c r="B226" s="7" t="s">
        <v>1142</v>
      </c>
      <c r="C226" s="7" t="s">
        <v>536</v>
      </c>
      <c r="D226" s="6" t="s">
        <v>1266</v>
      </c>
      <c r="E226" s="6" t="s">
        <v>1267</v>
      </c>
      <c r="F226" s="6" t="s">
        <v>40</v>
      </c>
      <c r="G226" s="6" t="s">
        <v>55</v>
      </c>
      <c r="H226" s="6" t="s">
        <v>1238</v>
      </c>
      <c r="I226" s="7" t="s">
        <v>1205</v>
      </c>
      <c r="J226" s="7" t="s">
        <v>1170</v>
      </c>
      <c r="K226" s="6">
        <v>1</v>
      </c>
      <c r="L226" s="6" t="s">
        <v>43</v>
      </c>
      <c r="M226" s="8">
        <v>29975</v>
      </c>
      <c r="N226" s="6" t="s">
        <v>1268</v>
      </c>
      <c r="O226" s="24">
        <v>1</v>
      </c>
      <c r="P226" s="8">
        <v>29975</v>
      </c>
      <c r="Q226" s="6" t="s">
        <v>1268</v>
      </c>
      <c r="R226" s="6" t="s">
        <v>628</v>
      </c>
      <c r="S226" s="6" t="s">
        <v>871</v>
      </c>
      <c r="T226" s="10" t="s">
        <v>1269</v>
      </c>
      <c r="U226" s="10" t="s">
        <v>1270</v>
      </c>
      <c r="V226" s="6" t="s">
        <v>59</v>
      </c>
      <c r="W226" s="8">
        <v>29975</v>
      </c>
      <c r="X226" s="6" t="s">
        <v>74</v>
      </c>
    </row>
    <row r="227" spans="1:25" s="6" customFormat="1" ht="207">
      <c r="A227" s="6" t="s">
        <v>39</v>
      </c>
      <c r="B227" s="7" t="s">
        <v>1142</v>
      </c>
      <c r="C227" s="7" t="s">
        <v>544</v>
      </c>
      <c r="D227" s="6" t="s">
        <v>1271</v>
      </c>
      <c r="E227" s="6" t="s">
        <v>1272</v>
      </c>
      <c r="F227" s="6" t="s">
        <v>1278</v>
      </c>
      <c r="G227" s="6" t="s">
        <v>55</v>
      </c>
      <c r="H227" s="6" t="s">
        <v>768</v>
      </c>
      <c r="I227" s="7" t="s">
        <v>1205</v>
      </c>
      <c r="J227" s="7" t="s">
        <v>1170</v>
      </c>
      <c r="K227" s="6">
        <v>1</v>
      </c>
      <c r="L227" s="6" t="s">
        <v>43</v>
      </c>
      <c r="M227" s="8">
        <v>6920</v>
      </c>
      <c r="N227" s="6" t="s">
        <v>1273</v>
      </c>
      <c r="O227" s="24">
        <v>1</v>
      </c>
      <c r="P227" s="8">
        <v>6920</v>
      </c>
      <c r="Q227" s="6" t="s">
        <v>1273</v>
      </c>
      <c r="R227" s="6" t="s">
        <v>1212</v>
      </c>
      <c r="S227" s="6" t="s">
        <v>1213</v>
      </c>
      <c r="T227" s="10" t="s">
        <v>1274</v>
      </c>
      <c r="U227" s="10" t="s">
        <v>1275</v>
      </c>
      <c r="V227" s="6" t="s">
        <v>59</v>
      </c>
      <c r="W227" s="8">
        <v>6920</v>
      </c>
      <c r="X227" s="6" t="s">
        <v>74</v>
      </c>
    </row>
    <row r="228" spans="1:25" s="6" customFormat="1" ht="358.8">
      <c r="A228" s="6" t="s">
        <v>39</v>
      </c>
      <c r="B228" s="7" t="s">
        <v>1142</v>
      </c>
      <c r="C228" s="7" t="s">
        <v>842</v>
      </c>
      <c r="D228" s="6" t="s">
        <v>1276</v>
      </c>
      <c r="E228" s="6" t="s">
        <v>1277</v>
      </c>
      <c r="F228" s="6" t="s">
        <v>1278</v>
      </c>
      <c r="G228" s="6" t="s">
        <v>55</v>
      </c>
      <c r="H228" s="6" t="s">
        <v>768</v>
      </c>
      <c r="I228" s="7" t="s">
        <v>1198</v>
      </c>
      <c r="J228" s="7" t="s">
        <v>1279</v>
      </c>
      <c r="K228" s="6">
        <v>26</v>
      </c>
      <c r="L228" s="6" t="s">
        <v>43</v>
      </c>
      <c r="M228" s="8">
        <v>39000</v>
      </c>
      <c r="N228" s="6" t="s">
        <v>1280</v>
      </c>
      <c r="O228" s="24">
        <v>1</v>
      </c>
      <c r="P228" s="8">
        <v>39000</v>
      </c>
      <c r="Q228" s="6" t="s">
        <v>1280</v>
      </c>
      <c r="R228" s="6" t="s">
        <v>1212</v>
      </c>
      <c r="S228" s="6" t="s">
        <v>1213</v>
      </c>
      <c r="T228" s="10" t="s">
        <v>1281</v>
      </c>
      <c r="U228" s="10" t="s">
        <v>1282</v>
      </c>
      <c r="V228" s="6" t="s">
        <v>59</v>
      </c>
      <c r="W228" s="8">
        <v>39000</v>
      </c>
      <c r="X228" s="6" t="s">
        <v>74</v>
      </c>
    </row>
    <row r="229" spans="1:25" s="6" customFormat="1" ht="193.2">
      <c r="A229" s="6" t="s">
        <v>39</v>
      </c>
      <c r="B229" s="7" t="s">
        <v>1142</v>
      </c>
      <c r="C229" s="7" t="s">
        <v>1283</v>
      </c>
      <c r="D229" s="6" t="s">
        <v>1284</v>
      </c>
      <c r="E229" s="6" t="s">
        <v>1285</v>
      </c>
      <c r="F229" s="6" t="s">
        <v>40</v>
      </c>
      <c r="G229" s="6" t="s">
        <v>47</v>
      </c>
      <c r="H229" s="6" t="s">
        <v>1286</v>
      </c>
      <c r="I229" s="7" t="s">
        <v>1240</v>
      </c>
      <c r="J229" s="7" t="s">
        <v>1287</v>
      </c>
      <c r="K229" s="6">
        <v>4</v>
      </c>
      <c r="L229" s="6" t="s">
        <v>43</v>
      </c>
      <c r="M229" s="8">
        <v>104417.65</v>
      </c>
      <c r="N229" s="6" t="s">
        <v>1288</v>
      </c>
      <c r="O229" s="24">
        <v>1</v>
      </c>
      <c r="P229" s="8">
        <v>49417.65</v>
      </c>
      <c r="Q229" s="6" t="s">
        <v>1289</v>
      </c>
      <c r="R229" s="6" t="s">
        <v>1290</v>
      </c>
      <c r="S229" s="6" t="s">
        <v>1291</v>
      </c>
      <c r="T229" s="10" t="s">
        <v>1292</v>
      </c>
      <c r="U229" s="10" t="s">
        <v>1293</v>
      </c>
      <c r="V229" s="6" t="s">
        <v>59</v>
      </c>
      <c r="W229" s="8">
        <v>104417.65</v>
      </c>
      <c r="X229" s="6" t="s">
        <v>74</v>
      </c>
      <c r="Y229" s="6" t="s">
        <v>1294</v>
      </c>
    </row>
    <row r="230" spans="1:25" s="6" customFormat="1" ht="207">
      <c r="A230" s="6" t="s">
        <v>39</v>
      </c>
      <c r="B230" s="7" t="s">
        <v>1142</v>
      </c>
      <c r="C230" s="7" t="s">
        <v>555</v>
      </c>
      <c r="D230" s="6" t="s">
        <v>1295</v>
      </c>
      <c r="E230" s="6" t="s">
        <v>1296</v>
      </c>
      <c r="F230" s="6" t="s">
        <v>40</v>
      </c>
      <c r="G230" s="6" t="s">
        <v>1297</v>
      </c>
      <c r="H230" s="6" t="s">
        <v>1298</v>
      </c>
      <c r="I230" s="7" t="s">
        <v>1240</v>
      </c>
      <c r="J230" s="7" t="s">
        <v>1299</v>
      </c>
      <c r="K230" s="6">
        <v>3</v>
      </c>
      <c r="L230" s="6" t="s">
        <v>43</v>
      </c>
      <c r="M230" s="8">
        <v>9500</v>
      </c>
      <c r="N230" s="6" t="s">
        <v>1300</v>
      </c>
      <c r="O230" s="24">
        <v>1</v>
      </c>
      <c r="P230" s="8">
        <v>9500</v>
      </c>
      <c r="Q230" s="6" t="s">
        <v>1300</v>
      </c>
      <c r="R230" s="6" t="s">
        <v>257</v>
      </c>
      <c r="S230" s="6" t="s">
        <v>1301</v>
      </c>
      <c r="T230" s="10" t="s">
        <v>1302</v>
      </c>
      <c r="U230" s="10" t="s">
        <v>1303</v>
      </c>
      <c r="V230" s="6" t="s">
        <v>59</v>
      </c>
      <c r="W230" s="8">
        <v>21400800</v>
      </c>
      <c r="X230" s="6" t="s">
        <v>74</v>
      </c>
    </row>
    <row r="231" spans="1:25" s="43" customFormat="1" ht="234.6">
      <c r="A231" s="37" t="s">
        <v>39</v>
      </c>
      <c r="B231" s="37">
        <v>14</v>
      </c>
      <c r="C231" s="38" t="s">
        <v>564</v>
      </c>
      <c r="D231" s="37" t="s">
        <v>3504</v>
      </c>
      <c r="E231" s="37" t="s">
        <v>3505</v>
      </c>
      <c r="F231" s="37" t="s">
        <v>1568</v>
      </c>
      <c r="G231" s="37" t="s">
        <v>55</v>
      </c>
      <c r="H231" s="37" t="s">
        <v>158</v>
      </c>
      <c r="I231" s="38" t="s">
        <v>1240</v>
      </c>
      <c r="J231" s="38" t="s">
        <v>869</v>
      </c>
      <c r="K231" s="37" t="s">
        <v>1199</v>
      </c>
      <c r="L231" s="37" t="s">
        <v>1589</v>
      </c>
      <c r="M231" s="39">
        <v>1530</v>
      </c>
      <c r="N231" s="37" t="s">
        <v>3506</v>
      </c>
      <c r="O231" s="40">
        <v>1</v>
      </c>
      <c r="P231" s="39">
        <v>1530</v>
      </c>
      <c r="Q231" s="37" t="s">
        <v>3506</v>
      </c>
      <c r="R231" s="37" t="s">
        <v>3486</v>
      </c>
      <c r="S231" s="37" t="s">
        <v>3487</v>
      </c>
      <c r="T231" s="41" t="s">
        <v>3507</v>
      </c>
      <c r="U231" s="41" t="s">
        <v>3508</v>
      </c>
      <c r="V231" s="37" t="s">
        <v>59</v>
      </c>
      <c r="W231" s="39">
        <v>148170</v>
      </c>
      <c r="X231" s="37" t="s">
        <v>74</v>
      </c>
      <c r="Y231" s="37"/>
    </row>
    <row r="232" spans="1:25" s="6" customFormat="1" ht="207">
      <c r="A232" s="6" t="s">
        <v>39</v>
      </c>
      <c r="B232" s="7" t="s">
        <v>1142</v>
      </c>
      <c r="C232" s="7" t="s">
        <v>1304</v>
      </c>
      <c r="D232" s="6" t="s">
        <v>1305</v>
      </c>
      <c r="E232" s="6" t="s">
        <v>1306</v>
      </c>
      <c r="F232" s="6" t="s">
        <v>40</v>
      </c>
      <c r="G232" s="6" t="s">
        <v>55</v>
      </c>
      <c r="H232" s="6" t="s">
        <v>202</v>
      </c>
      <c r="I232" s="7" t="s">
        <v>1240</v>
      </c>
      <c r="J232" s="7" t="s">
        <v>869</v>
      </c>
      <c r="K232" s="6" t="s">
        <v>1199</v>
      </c>
      <c r="L232" s="6" t="s">
        <v>43</v>
      </c>
      <c r="M232" s="8">
        <v>3100</v>
      </c>
      <c r="N232" s="6" t="s">
        <v>1307</v>
      </c>
      <c r="O232" s="24">
        <v>1</v>
      </c>
      <c r="P232" s="8">
        <v>3100</v>
      </c>
      <c r="Q232" s="6" t="s">
        <v>1307</v>
      </c>
      <c r="R232" s="6" t="s">
        <v>291</v>
      </c>
      <c r="S232" s="6" t="s">
        <v>1308</v>
      </c>
      <c r="T232" s="10" t="s">
        <v>1309</v>
      </c>
      <c r="U232" s="10" t="s">
        <v>1310</v>
      </c>
      <c r="V232" s="6" t="s">
        <v>59</v>
      </c>
      <c r="W232" s="8">
        <v>433069</v>
      </c>
      <c r="X232" s="6" t="s">
        <v>74</v>
      </c>
    </row>
    <row r="233" spans="1:25" s="6" customFormat="1" ht="234.6">
      <c r="A233" s="6" t="s">
        <v>39</v>
      </c>
      <c r="B233" s="7" t="s">
        <v>1142</v>
      </c>
      <c r="C233" s="7" t="s">
        <v>573</v>
      </c>
      <c r="D233" s="6" t="s">
        <v>1311</v>
      </c>
      <c r="E233" s="6" t="s">
        <v>1312</v>
      </c>
      <c r="F233" s="6" t="s">
        <v>40</v>
      </c>
      <c r="G233" s="6" t="s">
        <v>41</v>
      </c>
      <c r="H233" s="6" t="s">
        <v>42</v>
      </c>
      <c r="I233" s="7" t="s">
        <v>869</v>
      </c>
      <c r="J233" s="7" t="s">
        <v>869</v>
      </c>
      <c r="K233" s="6" t="s">
        <v>1313</v>
      </c>
      <c r="L233" s="6" t="s">
        <v>43</v>
      </c>
      <c r="M233" s="8">
        <v>5824.19</v>
      </c>
      <c r="N233" s="6" t="s">
        <v>1314</v>
      </c>
      <c r="O233" s="24">
        <v>1</v>
      </c>
      <c r="P233" s="8">
        <v>5824.19</v>
      </c>
      <c r="Q233" s="6" t="s">
        <v>1314</v>
      </c>
      <c r="R233" s="6" t="s">
        <v>761</v>
      </c>
      <c r="S233" s="6" t="s">
        <v>1315</v>
      </c>
      <c r="T233" s="10" t="s">
        <v>1316</v>
      </c>
      <c r="U233" s="10" t="s">
        <v>1317</v>
      </c>
      <c r="V233" s="6">
        <v>4.3899999999999997</v>
      </c>
      <c r="W233" s="25">
        <v>5824.19</v>
      </c>
      <c r="X233" s="6" t="s">
        <v>74</v>
      </c>
    </row>
    <row r="234" spans="1:25" s="6" customFormat="1" ht="220.8">
      <c r="A234" s="6" t="s">
        <v>39</v>
      </c>
      <c r="B234" s="7" t="s">
        <v>1142</v>
      </c>
      <c r="C234" s="7" t="s">
        <v>1318</v>
      </c>
      <c r="D234" s="6" t="s">
        <v>1319</v>
      </c>
      <c r="E234" s="6" t="s">
        <v>1326</v>
      </c>
      <c r="F234" s="6" t="s">
        <v>40</v>
      </c>
      <c r="G234" s="6" t="s">
        <v>55</v>
      </c>
      <c r="H234" s="6" t="s">
        <v>613</v>
      </c>
      <c r="I234" s="7" t="s">
        <v>869</v>
      </c>
      <c r="J234" s="7" t="s">
        <v>869</v>
      </c>
      <c r="K234" s="6" t="s">
        <v>1199</v>
      </c>
      <c r="L234" s="6" t="s">
        <v>43</v>
      </c>
      <c r="M234" s="8">
        <v>3050</v>
      </c>
      <c r="N234" s="6" t="s">
        <v>1320</v>
      </c>
      <c r="O234" s="24">
        <v>1</v>
      </c>
      <c r="P234" s="8">
        <v>3050</v>
      </c>
      <c r="Q234" s="6" t="s">
        <v>1320</v>
      </c>
      <c r="R234" s="6" t="s">
        <v>291</v>
      </c>
      <c r="S234" s="6" t="s">
        <v>1321</v>
      </c>
      <c r="T234" s="10" t="s">
        <v>1322</v>
      </c>
      <c r="U234" s="10" t="s">
        <v>1323</v>
      </c>
      <c r="V234" s="6" t="s">
        <v>59</v>
      </c>
      <c r="W234" s="8">
        <v>1495705.28</v>
      </c>
      <c r="X234" s="6" t="s">
        <v>58</v>
      </c>
    </row>
    <row r="235" spans="1:25" s="6" customFormat="1" ht="262.2">
      <c r="A235" s="6" t="s">
        <v>39</v>
      </c>
      <c r="B235" s="7" t="s">
        <v>1142</v>
      </c>
      <c r="C235" s="7" t="s">
        <v>582</v>
      </c>
      <c r="D235" s="6" t="s">
        <v>1324</v>
      </c>
      <c r="E235" s="6" t="s">
        <v>1325</v>
      </c>
      <c r="F235" s="6" t="s">
        <v>40</v>
      </c>
      <c r="G235" s="6" t="s">
        <v>55</v>
      </c>
      <c r="H235" s="6" t="s">
        <v>158</v>
      </c>
      <c r="I235" s="7" t="s">
        <v>869</v>
      </c>
      <c r="J235" s="7" t="s">
        <v>1299</v>
      </c>
      <c r="K235" s="6" t="s">
        <v>1313</v>
      </c>
      <c r="L235" s="6" t="s">
        <v>43</v>
      </c>
      <c r="M235" s="8">
        <v>11100</v>
      </c>
      <c r="N235" s="6" t="s">
        <v>1327</v>
      </c>
      <c r="O235" s="24">
        <v>1</v>
      </c>
      <c r="P235" s="8">
        <v>11100</v>
      </c>
      <c r="Q235" s="6" t="s">
        <v>1327</v>
      </c>
      <c r="R235" s="6" t="s">
        <v>291</v>
      </c>
      <c r="S235" s="6" t="s">
        <v>1328</v>
      </c>
      <c r="T235" s="10" t="s">
        <v>1329</v>
      </c>
      <c r="U235" s="10" t="s">
        <v>1330</v>
      </c>
      <c r="V235" s="6" t="s">
        <v>59</v>
      </c>
      <c r="W235" s="8">
        <v>9165000</v>
      </c>
      <c r="X235" s="6" t="s">
        <v>58</v>
      </c>
    </row>
    <row r="236" spans="1:25" s="42" customFormat="1" ht="400.2">
      <c r="A236" s="37" t="s">
        <v>39</v>
      </c>
      <c r="B236" s="38" t="s">
        <v>1331</v>
      </c>
      <c r="C236" s="38" t="s">
        <v>80</v>
      </c>
      <c r="D236" s="37" t="s">
        <v>3509</v>
      </c>
      <c r="E236" s="37" t="s">
        <v>3510</v>
      </c>
      <c r="F236" s="37" t="s">
        <v>1278</v>
      </c>
      <c r="G236" s="37" t="s">
        <v>55</v>
      </c>
      <c r="H236" s="37" t="s">
        <v>158</v>
      </c>
      <c r="I236" s="38" t="s">
        <v>1299</v>
      </c>
      <c r="J236" s="38" t="s">
        <v>1716</v>
      </c>
      <c r="K236" s="37">
        <v>37</v>
      </c>
      <c r="L236" s="37" t="s">
        <v>43</v>
      </c>
      <c r="M236" s="39">
        <v>89419</v>
      </c>
      <c r="N236" s="37" t="s">
        <v>3511</v>
      </c>
      <c r="O236" s="40">
        <v>1</v>
      </c>
      <c r="P236" s="39">
        <v>268257</v>
      </c>
      <c r="Q236" s="37" t="s">
        <v>3512</v>
      </c>
      <c r="R236" s="37" t="s">
        <v>1509</v>
      </c>
      <c r="S236" s="37" t="s">
        <v>2095</v>
      </c>
      <c r="T236" s="41" t="s">
        <v>3513</v>
      </c>
      <c r="U236" s="41" t="s">
        <v>3514</v>
      </c>
      <c r="V236" s="37" t="s">
        <v>59</v>
      </c>
      <c r="W236" s="39">
        <v>268257</v>
      </c>
      <c r="X236" s="37" t="s">
        <v>3515</v>
      </c>
      <c r="Y236" s="37" t="s">
        <v>3516</v>
      </c>
    </row>
    <row r="237" spans="1:25" s="6" customFormat="1" ht="303.60000000000002">
      <c r="A237" s="6" t="s">
        <v>39</v>
      </c>
      <c r="B237" s="7" t="s">
        <v>1331</v>
      </c>
      <c r="C237" s="7" t="s">
        <v>93</v>
      </c>
      <c r="D237" s="6" t="s">
        <v>1332</v>
      </c>
      <c r="E237" s="6" t="s">
        <v>1333</v>
      </c>
      <c r="F237" s="6" t="s">
        <v>40</v>
      </c>
      <c r="G237" s="6" t="s">
        <v>47</v>
      </c>
      <c r="H237" s="6" t="s">
        <v>1334</v>
      </c>
      <c r="I237" s="7" t="s">
        <v>1299</v>
      </c>
      <c r="J237" s="7" t="s">
        <v>1335</v>
      </c>
      <c r="K237" s="6">
        <v>4</v>
      </c>
      <c r="L237" s="6" t="s">
        <v>43</v>
      </c>
      <c r="M237" s="8">
        <v>84000</v>
      </c>
      <c r="N237" s="6" t="s">
        <v>1336</v>
      </c>
      <c r="O237" s="24">
        <v>1</v>
      </c>
      <c r="P237" s="8">
        <v>84000</v>
      </c>
      <c r="Q237" s="6" t="s">
        <v>1336</v>
      </c>
      <c r="R237" s="6" t="s">
        <v>1337</v>
      </c>
      <c r="S237" s="6" t="s">
        <v>1338</v>
      </c>
      <c r="T237" s="10" t="s">
        <v>1339</v>
      </c>
      <c r="U237" s="10" t="s">
        <v>1340</v>
      </c>
      <c r="V237" s="6">
        <v>5.74</v>
      </c>
      <c r="W237" s="8">
        <v>84000</v>
      </c>
      <c r="X237" s="6" t="s">
        <v>58</v>
      </c>
    </row>
    <row r="238" spans="1:25" s="6" customFormat="1" ht="262.2">
      <c r="A238" s="6" t="s">
        <v>39</v>
      </c>
      <c r="B238" s="7" t="s">
        <v>1331</v>
      </c>
      <c r="C238" s="7" t="s">
        <v>104</v>
      </c>
      <c r="D238" s="6" t="s">
        <v>1341</v>
      </c>
      <c r="E238" s="6" t="s">
        <v>1342</v>
      </c>
      <c r="F238" s="6" t="s">
        <v>40</v>
      </c>
      <c r="G238" s="6" t="s">
        <v>55</v>
      </c>
      <c r="H238" s="6" t="s">
        <v>743</v>
      </c>
      <c r="I238" s="7" t="s">
        <v>1299</v>
      </c>
      <c r="J238" s="7" t="s">
        <v>1299</v>
      </c>
      <c r="K238" s="6" t="s">
        <v>1199</v>
      </c>
      <c r="L238" s="6" t="s">
        <v>43</v>
      </c>
      <c r="M238" s="8">
        <v>3875</v>
      </c>
      <c r="N238" s="6" t="s">
        <v>1343</v>
      </c>
      <c r="O238" s="24">
        <v>1</v>
      </c>
      <c r="P238" s="8">
        <v>3875</v>
      </c>
      <c r="Q238" s="6" t="s">
        <v>1343</v>
      </c>
      <c r="R238" s="6" t="s">
        <v>291</v>
      </c>
      <c r="S238" s="6" t="s">
        <v>1328</v>
      </c>
      <c r="T238" s="10" t="s">
        <v>1344</v>
      </c>
      <c r="U238" s="10" t="s">
        <v>1345</v>
      </c>
      <c r="V238" s="6" t="s">
        <v>59</v>
      </c>
      <c r="W238" s="8">
        <v>3028165.85</v>
      </c>
      <c r="X238" s="6" t="s">
        <v>58</v>
      </c>
    </row>
    <row r="239" spans="1:25" s="42" customFormat="1" ht="409.6">
      <c r="A239" s="37" t="s">
        <v>39</v>
      </c>
      <c r="B239" s="38" t="s">
        <v>1331</v>
      </c>
      <c r="C239" s="38" t="s">
        <v>113</v>
      </c>
      <c r="D239" s="37" t="s">
        <v>3517</v>
      </c>
      <c r="E239" s="37" t="s">
        <v>3518</v>
      </c>
      <c r="F239" s="37" t="s">
        <v>1278</v>
      </c>
      <c r="G239" s="37" t="s">
        <v>55</v>
      </c>
      <c r="H239" s="37" t="s">
        <v>158</v>
      </c>
      <c r="I239" s="38" t="s">
        <v>1299</v>
      </c>
      <c r="J239" s="38" t="s">
        <v>1335</v>
      </c>
      <c r="K239" s="37">
        <v>3</v>
      </c>
      <c r="L239" s="37" t="s">
        <v>43</v>
      </c>
      <c r="M239" s="39">
        <v>1920</v>
      </c>
      <c r="N239" s="37" t="s">
        <v>3519</v>
      </c>
      <c r="O239" s="40">
        <v>1</v>
      </c>
      <c r="P239" s="39">
        <v>1920</v>
      </c>
      <c r="Q239" s="37" t="s">
        <v>3519</v>
      </c>
      <c r="R239" s="37" t="s">
        <v>3520</v>
      </c>
      <c r="S239" s="37" t="s">
        <v>3521</v>
      </c>
      <c r="T239" s="41" t="s">
        <v>3522</v>
      </c>
      <c r="U239" s="41" t="s">
        <v>3523</v>
      </c>
      <c r="V239" s="37" t="s">
        <v>59</v>
      </c>
      <c r="W239" s="39">
        <v>1920</v>
      </c>
      <c r="X239" s="37" t="s">
        <v>74</v>
      </c>
      <c r="Y239" s="37"/>
    </row>
    <row r="240" spans="1:25" s="6" customFormat="1" ht="276">
      <c r="A240" s="6" t="s">
        <v>39</v>
      </c>
      <c r="B240" s="7" t="s">
        <v>1331</v>
      </c>
      <c r="C240" s="7" t="s">
        <v>167</v>
      </c>
      <c r="D240" s="6" t="s">
        <v>1346</v>
      </c>
      <c r="E240" s="6" t="s">
        <v>1347</v>
      </c>
      <c r="F240" s="6" t="s">
        <v>2879</v>
      </c>
      <c r="G240" s="6" t="s">
        <v>55</v>
      </c>
      <c r="H240" s="6" t="s">
        <v>158</v>
      </c>
      <c r="I240" s="7" t="s">
        <v>1299</v>
      </c>
      <c r="J240" s="7" t="s">
        <v>1348</v>
      </c>
      <c r="K240" s="6">
        <v>2</v>
      </c>
      <c r="L240" s="6" t="s">
        <v>43</v>
      </c>
      <c r="M240" s="8" t="s">
        <v>1349</v>
      </c>
      <c r="N240" s="6" t="s">
        <v>1350</v>
      </c>
      <c r="O240" s="24">
        <v>1</v>
      </c>
      <c r="P240" s="6" t="s">
        <v>1349</v>
      </c>
      <c r="Q240" s="6" t="s">
        <v>1350</v>
      </c>
      <c r="R240" s="6" t="s">
        <v>1351</v>
      </c>
      <c r="S240" s="6" t="s">
        <v>1352</v>
      </c>
      <c r="T240" s="10" t="s">
        <v>1353</v>
      </c>
      <c r="U240" s="10" t="s">
        <v>1354</v>
      </c>
      <c r="V240" s="6" t="s">
        <v>59</v>
      </c>
      <c r="W240" s="8">
        <v>1505580</v>
      </c>
      <c r="X240" s="6" t="s">
        <v>74</v>
      </c>
      <c r="Y240" s="6" t="s">
        <v>1355</v>
      </c>
    </row>
    <row r="241" spans="1:25" s="6" customFormat="1" ht="262.2">
      <c r="A241" s="6" t="s">
        <v>39</v>
      </c>
      <c r="B241" s="7" t="s">
        <v>1331</v>
      </c>
      <c r="C241" s="7" t="s">
        <v>176</v>
      </c>
      <c r="D241" s="6" t="s">
        <v>1356</v>
      </c>
      <c r="E241" s="6" t="s">
        <v>1357</v>
      </c>
      <c r="F241" s="6" t="s">
        <v>40</v>
      </c>
      <c r="G241" s="6" t="s">
        <v>55</v>
      </c>
      <c r="H241" s="6" t="s">
        <v>137</v>
      </c>
      <c r="I241" s="7" t="s">
        <v>1287</v>
      </c>
      <c r="J241" s="7" t="s">
        <v>1223</v>
      </c>
      <c r="K241" s="6">
        <v>1</v>
      </c>
      <c r="L241" s="6" t="s">
        <v>43</v>
      </c>
      <c r="M241" s="8">
        <v>2100</v>
      </c>
      <c r="N241" s="6" t="s">
        <v>1359</v>
      </c>
      <c r="O241" s="24">
        <v>1</v>
      </c>
      <c r="P241" s="8">
        <v>2100</v>
      </c>
      <c r="Q241" s="6" t="s">
        <v>1359</v>
      </c>
      <c r="R241" s="6" t="s">
        <v>1360</v>
      </c>
      <c r="S241" s="6" t="s">
        <v>1361</v>
      </c>
      <c r="T241" s="10" t="s">
        <v>1362</v>
      </c>
      <c r="U241" s="10" t="s">
        <v>1363</v>
      </c>
      <c r="V241" s="6" t="s">
        <v>59</v>
      </c>
      <c r="W241" s="8">
        <v>2100</v>
      </c>
      <c r="X241" s="6" t="s">
        <v>74</v>
      </c>
      <c r="Y241" s="6" t="s">
        <v>1364</v>
      </c>
    </row>
    <row r="242" spans="1:25" s="43" customFormat="1" ht="409.6">
      <c r="A242" s="37" t="s">
        <v>39</v>
      </c>
      <c r="B242" s="37">
        <v>15</v>
      </c>
      <c r="C242" s="38" t="s">
        <v>183</v>
      </c>
      <c r="D242" s="37" t="s">
        <v>3524</v>
      </c>
      <c r="E242" s="37" t="s">
        <v>3525</v>
      </c>
      <c r="F242" s="37" t="s">
        <v>1568</v>
      </c>
      <c r="G242" s="37" t="s">
        <v>55</v>
      </c>
      <c r="H242" s="37" t="s">
        <v>158</v>
      </c>
      <c r="I242" s="38" t="s">
        <v>1377</v>
      </c>
      <c r="J242" s="38" t="s">
        <v>1467</v>
      </c>
      <c r="K242" s="37">
        <v>12</v>
      </c>
      <c r="L242" s="37" t="s">
        <v>2998</v>
      </c>
      <c r="M242" s="39">
        <v>139056.79</v>
      </c>
      <c r="N242" s="37" t="s">
        <v>3526</v>
      </c>
      <c r="O242" s="40">
        <v>0.43</v>
      </c>
      <c r="P242" s="39">
        <v>59761.83</v>
      </c>
      <c r="Q242" s="37" t="s">
        <v>3531</v>
      </c>
      <c r="R242" s="37" t="s">
        <v>1509</v>
      </c>
      <c r="S242" s="37" t="s">
        <v>3527</v>
      </c>
      <c r="T242" s="41" t="s">
        <v>3528</v>
      </c>
      <c r="U242" s="41" t="s">
        <v>3529</v>
      </c>
      <c r="V242" s="37" t="s">
        <v>59</v>
      </c>
      <c r="W242" s="39">
        <v>9165000</v>
      </c>
      <c r="X242" s="37" t="s">
        <v>3530</v>
      </c>
      <c r="Y242" s="37" t="s">
        <v>3533</v>
      </c>
    </row>
    <row r="243" spans="1:25" s="42" customFormat="1" ht="372.6">
      <c r="A243" s="37" t="s">
        <v>39</v>
      </c>
      <c r="B243" s="38" t="s">
        <v>1331</v>
      </c>
      <c r="C243" s="38" t="s">
        <v>114</v>
      </c>
      <c r="D243" s="37" t="s">
        <v>3532</v>
      </c>
      <c r="E243" s="37" t="s">
        <v>3534</v>
      </c>
      <c r="F243" s="37" t="s">
        <v>1278</v>
      </c>
      <c r="G243" s="37" t="s">
        <v>55</v>
      </c>
      <c r="H243" s="37" t="s">
        <v>158</v>
      </c>
      <c r="I243" s="38" t="s">
        <v>1377</v>
      </c>
      <c r="J243" s="38" t="s">
        <v>1358</v>
      </c>
      <c r="K243" s="37">
        <v>6</v>
      </c>
      <c r="L243" s="37" t="s">
        <v>43</v>
      </c>
      <c r="M243" s="39">
        <v>11890</v>
      </c>
      <c r="N243" s="37" t="s">
        <v>3535</v>
      </c>
      <c r="O243" s="40">
        <v>1</v>
      </c>
      <c r="P243" s="39">
        <v>11890</v>
      </c>
      <c r="Q243" s="37" t="s">
        <v>3535</v>
      </c>
      <c r="R243" s="37" t="s">
        <v>1509</v>
      </c>
      <c r="S243" s="37" t="s">
        <v>3171</v>
      </c>
      <c r="T243" s="41" t="s">
        <v>3536</v>
      </c>
      <c r="U243" s="41" t="s">
        <v>3537</v>
      </c>
      <c r="V243" s="37" t="s">
        <v>59</v>
      </c>
      <c r="W243" s="39">
        <v>11890</v>
      </c>
      <c r="X243" s="37" t="s">
        <v>74</v>
      </c>
      <c r="Y243" s="37"/>
    </row>
    <row r="244" spans="1:25" s="6" customFormat="1" ht="358.8">
      <c r="A244" s="6" t="s">
        <v>39</v>
      </c>
      <c r="B244" s="7" t="s">
        <v>1331</v>
      </c>
      <c r="C244" s="7" t="s">
        <v>125</v>
      </c>
      <c r="D244" s="6" t="s">
        <v>1365</v>
      </c>
      <c r="E244" s="6" t="s">
        <v>1366</v>
      </c>
      <c r="F244" s="6" t="s">
        <v>40</v>
      </c>
      <c r="G244" s="6" t="s">
        <v>55</v>
      </c>
      <c r="H244" s="6" t="s">
        <v>158</v>
      </c>
      <c r="I244" s="7" t="s">
        <v>1335</v>
      </c>
      <c r="J244" s="7" t="s">
        <v>1367</v>
      </c>
      <c r="K244" s="6">
        <v>4</v>
      </c>
      <c r="L244" s="6" t="s">
        <v>43</v>
      </c>
      <c r="M244" s="8">
        <v>9885</v>
      </c>
      <c r="N244" s="6" t="s">
        <v>1368</v>
      </c>
      <c r="O244" s="24">
        <v>1</v>
      </c>
      <c r="P244" s="8">
        <v>9885</v>
      </c>
      <c r="Q244" s="6" t="s">
        <v>1368</v>
      </c>
      <c r="R244" s="6" t="s">
        <v>1369</v>
      </c>
      <c r="S244" s="6" t="s">
        <v>1370</v>
      </c>
      <c r="T244" s="10" t="s">
        <v>1371</v>
      </c>
      <c r="U244" s="10" t="s">
        <v>1372</v>
      </c>
      <c r="V244" s="6" t="s">
        <v>59</v>
      </c>
      <c r="W244" s="8">
        <v>9885</v>
      </c>
      <c r="X244" s="6" t="s">
        <v>74</v>
      </c>
      <c r="Y244" s="6" t="s">
        <v>1373</v>
      </c>
    </row>
    <row r="245" spans="1:25" s="6" customFormat="1" ht="193.2">
      <c r="A245" s="6" t="s">
        <v>39</v>
      </c>
      <c r="B245" s="7" t="s">
        <v>1331</v>
      </c>
      <c r="C245" s="7" t="s">
        <v>134</v>
      </c>
      <c r="D245" s="6" t="s">
        <v>1374</v>
      </c>
      <c r="E245" s="6" t="s">
        <v>1375</v>
      </c>
      <c r="F245" s="6" t="s">
        <v>40</v>
      </c>
      <c r="G245" s="6" t="s">
        <v>55</v>
      </c>
      <c r="H245" s="6" t="s">
        <v>1376</v>
      </c>
      <c r="I245" s="7" t="s">
        <v>1377</v>
      </c>
      <c r="J245" s="7" t="s">
        <v>1378</v>
      </c>
      <c r="K245" s="6">
        <v>31</v>
      </c>
      <c r="L245" s="6" t="s">
        <v>43</v>
      </c>
      <c r="M245" s="8">
        <v>32000</v>
      </c>
      <c r="N245" s="6" t="s">
        <v>1379</v>
      </c>
      <c r="O245" s="24">
        <v>1</v>
      </c>
      <c r="P245" s="8">
        <v>32000</v>
      </c>
      <c r="Q245" s="6" t="s">
        <v>1379</v>
      </c>
      <c r="R245" s="6" t="s">
        <v>1380</v>
      </c>
      <c r="S245" s="6" t="s">
        <v>977</v>
      </c>
      <c r="T245" s="10" t="s">
        <v>1381</v>
      </c>
      <c r="U245" s="10" t="s">
        <v>1382</v>
      </c>
      <c r="V245" s="6" t="s">
        <v>59</v>
      </c>
      <c r="W245" s="8">
        <v>32000</v>
      </c>
      <c r="X245" s="6" t="s">
        <v>74</v>
      </c>
    </row>
    <row r="246" spans="1:25" s="6" customFormat="1" ht="248.4">
      <c r="A246" s="6" t="s">
        <v>39</v>
      </c>
      <c r="B246" s="7" t="s">
        <v>1331</v>
      </c>
      <c r="C246" s="7" t="s">
        <v>191</v>
      </c>
      <c r="D246" s="6" t="s">
        <v>1383</v>
      </c>
      <c r="E246" s="6" t="s">
        <v>1384</v>
      </c>
      <c r="F246" s="6" t="s">
        <v>40</v>
      </c>
      <c r="G246" s="6" t="s">
        <v>55</v>
      </c>
      <c r="H246" s="6" t="s">
        <v>927</v>
      </c>
      <c r="I246" s="7" t="s">
        <v>1377</v>
      </c>
      <c r="J246" s="7" t="s">
        <v>1385</v>
      </c>
      <c r="K246" s="6" t="s">
        <v>1199</v>
      </c>
      <c r="L246" s="6" t="s">
        <v>43</v>
      </c>
      <c r="M246" s="8">
        <v>5665</v>
      </c>
      <c r="N246" s="6" t="s">
        <v>1386</v>
      </c>
      <c r="O246" s="24">
        <v>1</v>
      </c>
      <c r="P246" s="8">
        <v>5665</v>
      </c>
      <c r="Q246" s="6" t="s">
        <v>1386</v>
      </c>
      <c r="R246" s="6" t="s">
        <v>291</v>
      </c>
      <c r="S246" s="6" t="s">
        <v>1321</v>
      </c>
      <c r="T246" s="10" t="s">
        <v>1387</v>
      </c>
      <c r="U246" s="10" t="s">
        <v>1388</v>
      </c>
      <c r="V246" s="6" t="s">
        <v>59</v>
      </c>
      <c r="W246" s="8">
        <v>3518801.6</v>
      </c>
      <c r="X246" s="6" t="s">
        <v>74</v>
      </c>
    </row>
    <row r="247" spans="1:25" s="42" customFormat="1" ht="409.6">
      <c r="A247" s="37" t="s">
        <v>39</v>
      </c>
      <c r="B247" s="38" t="s">
        <v>1331</v>
      </c>
      <c r="C247" s="38" t="s">
        <v>273</v>
      </c>
      <c r="D247" s="37" t="s">
        <v>3538</v>
      </c>
      <c r="E247" s="37" t="s">
        <v>3539</v>
      </c>
      <c r="F247" s="37" t="s">
        <v>1278</v>
      </c>
      <c r="G247" s="37" t="s">
        <v>55</v>
      </c>
      <c r="H247" s="37" t="s">
        <v>613</v>
      </c>
      <c r="I247" s="38" t="s">
        <v>3540</v>
      </c>
      <c r="J247" s="38" t="s">
        <v>1709</v>
      </c>
      <c r="K247" s="37">
        <v>41</v>
      </c>
      <c r="L247" s="37" t="s">
        <v>2998</v>
      </c>
      <c r="M247" s="39">
        <v>122471</v>
      </c>
      <c r="N247" s="37" t="s">
        <v>3541</v>
      </c>
      <c r="O247" s="40">
        <v>0.8</v>
      </c>
      <c r="P247" s="39">
        <v>393213.77</v>
      </c>
      <c r="Q247" s="37" t="s">
        <v>3542</v>
      </c>
      <c r="R247" s="37" t="s">
        <v>1509</v>
      </c>
      <c r="S247" s="37" t="s">
        <v>3543</v>
      </c>
      <c r="T247" s="41" t="s">
        <v>3544</v>
      </c>
      <c r="U247" s="41" t="s">
        <v>3545</v>
      </c>
      <c r="V247" s="37" t="s">
        <v>59</v>
      </c>
      <c r="W247" s="39">
        <v>418442.58</v>
      </c>
      <c r="X247" s="37" t="s">
        <v>3053</v>
      </c>
      <c r="Y247" s="37" t="s">
        <v>3546</v>
      </c>
    </row>
    <row r="248" spans="1:25" s="6" customFormat="1" ht="409.6">
      <c r="A248" s="6" t="s">
        <v>39</v>
      </c>
      <c r="B248" s="27" t="s">
        <v>1331</v>
      </c>
      <c r="C248" s="27" t="s">
        <v>192</v>
      </c>
      <c r="D248" s="6" t="s">
        <v>3547</v>
      </c>
      <c r="E248" s="6" t="s">
        <v>3548</v>
      </c>
      <c r="F248" s="6" t="s">
        <v>40</v>
      </c>
      <c r="G248" s="6" t="s">
        <v>41</v>
      </c>
      <c r="H248" s="6" t="s">
        <v>42</v>
      </c>
      <c r="I248" s="7" t="s">
        <v>1377</v>
      </c>
      <c r="J248" s="7" t="s">
        <v>1367</v>
      </c>
      <c r="K248" s="6">
        <v>2</v>
      </c>
      <c r="L248" s="6" t="s">
        <v>43</v>
      </c>
      <c r="M248" s="31" t="s">
        <v>461</v>
      </c>
      <c r="N248" s="26" t="s">
        <v>461</v>
      </c>
      <c r="O248" s="24">
        <v>1</v>
      </c>
      <c r="P248" s="31" t="s">
        <v>461</v>
      </c>
      <c r="Q248" s="26" t="s">
        <v>461</v>
      </c>
      <c r="R248" s="6" t="s">
        <v>3549</v>
      </c>
      <c r="S248" s="6" t="s">
        <v>3550</v>
      </c>
      <c r="T248" s="10" t="s">
        <v>3551</v>
      </c>
      <c r="U248" s="10" t="s">
        <v>3552</v>
      </c>
      <c r="V248" s="6">
        <v>3.38</v>
      </c>
      <c r="W248" s="8" t="s">
        <v>4074</v>
      </c>
      <c r="X248" s="6" t="s">
        <v>74</v>
      </c>
    </row>
    <row r="249" spans="1:25" s="6" customFormat="1" ht="234.6">
      <c r="A249" s="6" t="s">
        <v>39</v>
      </c>
      <c r="B249" s="7" t="s">
        <v>1331</v>
      </c>
      <c r="C249" s="7" t="s">
        <v>201</v>
      </c>
      <c r="D249" s="6" t="s">
        <v>1389</v>
      </c>
      <c r="E249" s="6" t="s">
        <v>1390</v>
      </c>
      <c r="F249" s="6" t="s">
        <v>40</v>
      </c>
      <c r="G249" s="6" t="s">
        <v>55</v>
      </c>
      <c r="H249" s="6" t="s">
        <v>158</v>
      </c>
      <c r="I249" s="7" t="s">
        <v>728</v>
      </c>
      <c r="J249" s="7" t="s">
        <v>728</v>
      </c>
      <c r="K249" s="6" t="s">
        <v>1199</v>
      </c>
      <c r="L249" s="6" t="s">
        <v>43</v>
      </c>
      <c r="M249" s="8">
        <v>4000</v>
      </c>
      <c r="N249" s="6" t="s">
        <v>1391</v>
      </c>
      <c r="O249" s="24">
        <v>1</v>
      </c>
      <c r="P249" s="8">
        <v>4000</v>
      </c>
      <c r="Q249" s="6" t="s">
        <v>1391</v>
      </c>
      <c r="R249" s="6" t="s">
        <v>1392</v>
      </c>
      <c r="S249" s="6" t="s">
        <v>1393</v>
      </c>
      <c r="T249" s="10" t="s">
        <v>1394</v>
      </c>
      <c r="U249" s="10" t="s">
        <v>1395</v>
      </c>
      <c r="V249" s="6" t="s">
        <v>59</v>
      </c>
      <c r="W249" s="8">
        <v>243896</v>
      </c>
      <c r="X249" s="6" t="s">
        <v>74</v>
      </c>
    </row>
    <row r="250" spans="1:25" s="43" customFormat="1" ht="409.6">
      <c r="A250" s="37" t="s">
        <v>39</v>
      </c>
      <c r="B250" s="37">
        <v>15</v>
      </c>
      <c r="C250" s="38" t="s">
        <v>285</v>
      </c>
      <c r="D250" s="37" t="s">
        <v>3553</v>
      </c>
      <c r="E250" s="37" t="s">
        <v>3555</v>
      </c>
      <c r="F250" s="37" t="s">
        <v>2880</v>
      </c>
      <c r="G250" s="37" t="s">
        <v>55</v>
      </c>
      <c r="H250" s="37" t="s">
        <v>158</v>
      </c>
      <c r="I250" s="38" t="s">
        <v>1149</v>
      </c>
      <c r="J250" s="38" t="s">
        <v>974</v>
      </c>
      <c r="K250" s="37">
        <v>10</v>
      </c>
      <c r="L250" s="37" t="s">
        <v>2906</v>
      </c>
      <c r="M250" s="39">
        <v>19535</v>
      </c>
      <c r="N250" s="37" t="s">
        <v>3554</v>
      </c>
      <c r="O250" s="40">
        <v>1</v>
      </c>
      <c r="P250" s="39">
        <v>19535</v>
      </c>
      <c r="Q250" s="37" t="s">
        <v>3554</v>
      </c>
      <c r="R250" s="37" t="s">
        <v>1509</v>
      </c>
      <c r="S250" s="37" t="s">
        <v>3556</v>
      </c>
      <c r="T250" s="41" t="s">
        <v>3557</v>
      </c>
      <c r="U250" s="41" t="s">
        <v>3558</v>
      </c>
      <c r="V250" s="37" t="s">
        <v>59</v>
      </c>
      <c r="W250" s="39">
        <v>457339.21</v>
      </c>
      <c r="X250" s="37" t="s">
        <v>3559</v>
      </c>
      <c r="Y250" s="37"/>
    </row>
    <row r="251" spans="1:25" s="6" customFormat="1" ht="276">
      <c r="A251" s="6" t="s">
        <v>39</v>
      </c>
      <c r="B251" s="7" t="s">
        <v>1331</v>
      </c>
      <c r="C251" s="7" t="s">
        <v>295</v>
      </c>
      <c r="D251" s="6" t="s">
        <v>1396</v>
      </c>
      <c r="E251" s="6" t="s">
        <v>4075</v>
      </c>
      <c r="F251" s="6" t="s">
        <v>2879</v>
      </c>
      <c r="G251" s="6" t="s">
        <v>1397</v>
      </c>
      <c r="H251" s="6" t="s">
        <v>1396</v>
      </c>
      <c r="I251" s="7" t="s">
        <v>1367</v>
      </c>
      <c r="J251" s="7" t="s">
        <v>1367</v>
      </c>
      <c r="K251" s="6" t="s">
        <v>1313</v>
      </c>
      <c r="L251" s="6" t="s">
        <v>2906</v>
      </c>
      <c r="M251" s="8">
        <v>5500</v>
      </c>
      <c r="N251" s="6" t="s">
        <v>4076</v>
      </c>
      <c r="O251" s="24">
        <v>1</v>
      </c>
      <c r="P251" s="8">
        <v>5500</v>
      </c>
      <c r="Q251" s="6" t="s">
        <v>4076</v>
      </c>
      <c r="R251" s="6" t="s">
        <v>4077</v>
      </c>
      <c r="S251" s="6" t="s">
        <v>4078</v>
      </c>
      <c r="T251" s="10" t="s">
        <v>4079</v>
      </c>
      <c r="U251" s="10" t="s">
        <v>4080</v>
      </c>
      <c r="V251" s="6" t="s">
        <v>59</v>
      </c>
      <c r="W251" s="8">
        <v>5500</v>
      </c>
      <c r="X251" s="6" t="s">
        <v>74</v>
      </c>
    </row>
    <row r="252" spans="1:25" s="6" customFormat="1" ht="262.2">
      <c r="B252" s="7" t="s">
        <v>1331</v>
      </c>
      <c r="C252" s="7" t="s">
        <v>295</v>
      </c>
      <c r="D252" s="6" t="s">
        <v>1396</v>
      </c>
      <c r="E252" s="6" t="s">
        <v>4081</v>
      </c>
      <c r="F252" s="6" t="s">
        <v>4086</v>
      </c>
      <c r="G252" s="6" t="s">
        <v>1397</v>
      </c>
      <c r="H252" s="6" t="s">
        <v>1396</v>
      </c>
      <c r="I252" s="7" t="s">
        <v>1425</v>
      </c>
      <c r="J252" s="7" t="s">
        <v>1409</v>
      </c>
      <c r="K252" s="6">
        <v>2</v>
      </c>
      <c r="L252" s="6" t="s">
        <v>2906</v>
      </c>
      <c r="M252" s="8">
        <v>17000</v>
      </c>
      <c r="N252" s="6" t="s">
        <v>4082</v>
      </c>
      <c r="O252" s="24">
        <v>1</v>
      </c>
      <c r="P252" s="8">
        <v>17000</v>
      </c>
      <c r="Q252" s="6" t="s">
        <v>4082</v>
      </c>
      <c r="R252" s="6" t="s">
        <v>4077</v>
      </c>
      <c r="S252" s="6" t="s">
        <v>4078</v>
      </c>
      <c r="T252" s="10" t="s">
        <v>4083</v>
      </c>
      <c r="U252" s="10" t="s">
        <v>4084</v>
      </c>
      <c r="V252" s="6" t="s">
        <v>59</v>
      </c>
      <c r="W252" s="8">
        <v>17000</v>
      </c>
      <c r="X252" s="6" t="s">
        <v>74</v>
      </c>
    </row>
    <row r="253" spans="1:25" s="6" customFormat="1" ht="386.4">
      <c r="B253" s="7" t="s">
        <v>1331</v>
      </c>
      <c r="C253" s="7" t="s">
        <v>295</v>
      </c>
      <c r="D253" s="6" t="s">
        <v>1396</v>
      </c>
      <c r="E253" s="6" t="s">
        <v>4085</v>
      </c>
      <c r="F253" s="6" t="s">
        <v>2879</v>
      </c>
      <c r="G253" s="6" t="s">
        <v>1397</v>
      </c>
      <c r="H253" s="6" t="s">
        <v>1396</v>
      </c>
      <c r="I253" s="7" t="s">
        <v>1467</v>
      </c>
      <c r="J253" s="7" t="s">
        <v>1398</v>
      </c>
      <c r="K253" s="6">
        <v>5</v>
      </c>
      <c r="L253" s="6" t="s">
        <v>2906</v>
      </c>
      <c r="M253" s="8">
        <v>2150000</v>
      </c>
      <c r="N253" s="6" t="s">
        <v>4087</v>
      </c>
      <c r="O253" s="24">
        <v>1</v>
      </c>
      <c r="P253" s="8">
        <v>2150000</v>
      </c>
      <c r="Q253" s="6" t="s">
        <v>4087</v>
      </c>
      <c r="R253" s="6" t="s">
        <v>4077</v>
      </c>
      <c r="S253" s="6" t="s">
        <v>4078</v>
      </c>
      <c r="T253" s="10" t="s">
        <v>4088</v>
      </c>
      <c r="U253" s="10" t="s">
        <v>4089</v>
      </c>
      <c r="V253" s="6" t="s">
        <v>59</v>
      </c>
      <c r="W253" s="8">
        <v>42683876.509999998</v>
      </c>
      <c r="X253" s="6" t="s">
        <v>74</v>
      </c>
    </row>
    <row r="254" spans="1:25" s="6" customFormat="1" ht="386.4">
      <c r="B254" s="7" t="s">
        <v>1331</v>
      </c>
      <c r="C254" s="7" t="s">
        <v>295</v>
      </c>
      <c r="D254" s="6" t="s">
        <v>1396</v>
      </c>
      <c r="E254" s="6" t="s">
        <v>4085</v>
      </c>
      <c r="F254" s="6" t="s">
        <v>2879</v>
      </c>
      <c r="G254" s="6" t="s">
        <v>1397</v>
      </c>
      <c r="H254" s="6" t="s">
        <v>1396</v>
      </c>
      <c r="I254" s="7" t="s">
        <v>1595</v>
      </c>
      <c r="J254" s="7" t="s">
        <v>1452</v>
      </c>
      <c r="K254" s="6">
        <v>3</v>
      </c>
      <c r="L254" s="6" t="s">
        <v>2906</v>
      </c>
      <c r="M254" s="8">
        <v>165000</v>
      </c>
      <c r="N254" s="6" t="s">
        <v>4090</v>
      </c>
      <c r="O254" s="24">
        <v>1</v>
      </c>
      <c r="P254" s="8">
        <v>165000</v>
      </c>
      <c r="Q254" s="6" t="s">
        <v>4090</v>
      </c>
      <c r="R254" s="6" t="s">
        <v>4077</v>
      </c>
      <c r="S254" s="6" t="s">
        <v>4078</v>
      </c>
      <c r="T254" s="10" t="s">
        <v>4091</v>
      </c>
      <c r="U254" s="10" t="s">
        <v>4092</v>
      </c>
      <c r="V254" s="6" t="s">
        <v>59</v>
      </c>
      <c r="W254" s="8">
        <v>27101325.649999999</v>
      </c>
      <c r="X254" s="6" t="s">
        <v>74</v>
      </c>
      <c r="Y254" s="6" t="s">
        <v>4093</v>
      </c>
    </row>
    <row r="255" spans="1:25" s="42" customFormat="1" ht="409.6">
      <c r="A255" s="37" t="s">
        <v>39</v>
      </c>
      <c r="B255" s="38" t="s">
        <v>1331</v>
      </c>
      <c r="C255" s="38" t="s">
        <v>305</v>
      </c>
      <c r="D255" s="37" t="s">
        <v>3560</v>
      </c>
      <c r="E255" s="37" t="s">
        <v>3561</v>
      </c>
      <c r="F255" s="37" t="s">
        <v>1278</v>
      </c>
      <c r="G255" s="37" t="s">
        <v>55</v>
      </c>
      <c r="H255" s="37" t="s">
        <v>158</v>
      </c>
      <c r="I255" s="38" t="s">
        <v>1358</v>
      </c>
      <c r="J255" s="38" t="s">
        <v>1496</v>
      </c>
      <c r="K255" s="37">
        <v>24</v>
      </c>
      <c r="L255" s="37" t="s">
        <v>43</v>
      </c>
      <c r="M255" s="39">
        <v>144320</v>
      </c>
      <c r="N255" s="37" t="s">
        <v>3562</v>
      </c>
      <c r="O255" s="40">
        <v>1</v>
      </c>
      <c r="P255" s="39">
        <v>288640</v>
      </c>
      <c r="Q255" s="37" t="s">
        <v>3563</v>
      </c>
      <c r="R255" s="37" t="s">
        <v>1509</v>
      </c>
      <c r="S255" s="37" t="s">
        <v>3564</v>
      </c>
      <c r="T255" s="41" t="s">
        <v>3565</v>
      </c>
      <c r="U255" s="41" t="s">
        <v>3566</v>
      </c>
      <c r="V255" s="37" t="s">
        <v>59</v>
      </c>
      <c r="W255" s="39">
        <v>288640</v>
      </c>
      <c r="X255" s="37" t="s">
        <v>74</v>
      </c>
      <c r="Y255" s="37" t="s">
        <v>3567</v>
      </c>
    </row>
    <row r="256" spans="1:25" s="6" customFormat="1" ht="262.2">
      <c r="A256" s="6" t="s">
        <v>39</v>
      </c>
      <c r="B256" s="7" t="s">
        <v>1331</v>
      </c>
      <c r="C256" s="7" t="s">
        <v>314</v>
      </c>
      <c r="D256" s="6" t="s">
        <v>1399</v>
      </c>
      <c r="E256" s="6" t="s">
        <v>1400</v>
      </c>
      <c r="F256" s="6" t="s">
        <v>40</v>
      </c>
      <c r="G256" s="6" t="s">
        <v>55</v>
      </c>
      <c r="H256" s="6" t="s">
        <v>613</v>
      </c>
      <c r="I256" s="7" t="s">
        <v>1149</v>
      </c>
      <c r="J256" s="7" t="s">
        <v>1149</v>
      </c>
      <c r="K256" s="6" t="s">
        <v>1313</v>
      </c>
      <c r="L256" s="6" t="s">
        <v>43</v>
      </c>
      <c r="M256" s="8">
        <v>6650</v>
      </c>
      <c r="N256" s="6" t="s">
        <v>1401</v>
      </c>
      <c r="O256" s="24">
        <v>1</v>
      </c>
      <c r="P256" s="8">
        <v>6650</v>
      </c>
      <c r="Q256" s="6" t="s">
        <v>1401</v>
      </c>
      <c r="R256" s="6" t="s">
        <v>291</v>
      </c>
      <c r="S256" s="6" t="s">
        <v>1328</v>
      </c>
      <c r="T256" s="10" t="s">
        <v>1402</v>
      </c>
      <c r="U256" s="10" t="s">
        <v>1403</v>
      </c>
      <c r="V256" s="6" t="s">
        <v>59</v>
      </c>
      <c r="W256" s="6" t="s">
        <v>1404</v>
      </c>
      <c r="X256" s="6" t="s">
        <v>74</v>
      </c>
    </row>
    <row r="257" spans="1:25" s="43" customFormat="1" ht="409.6">
      <c r="A257" s="37" t="s">
        <v>39</v>
      </c>
      <c r="B257" s="37">
        <v>15</v>
      </c>
      <c r="C257" s="38" t="s">
        <v>323</v>
      </c>
      <c r="D257" s="37" t="s">
        <v>3568</v>
      </c>
      <c r="E257" s="37" t="s">
        <v>3569</v>
      </c>
      <c r="F257" s="37" t="s">
        <v>2880</v>
      </c>
      <c r="G257" s="37" t="s">
        <v>55</v>
      </c>
      <c r="H257" s="37" t="s">
        <v>1476</v>
      </c>
      <c r="I257" s="38" t="s">
        <v>1358</v>
      </c>
      <c r="J257" s="38" t="s">
        <v>1119</v>
      </c>
      <c r="K257" s="37">
        <v>15</v>
      </c>
      <c r="L257" s="37" t="s">
        <v>2906</v>
      </c>
      <c r="M257" s="39">
        <v>49908.26</v>
      </c>
      <c r="N257" s="37" t="s">
        <v>3570</v>
      </c>
      <c r="O257" s="40">
        <v>1</v>
      </c>
      <c r="P257" s="39">
        <v>49908.26</v>
      </c>
      <c r="Q257" s="37" t="s">
        <v>3570</v>
      </c>
      <c r="R257" s="37" t="s">
        <v>1509</v>
      </c>
      <c r="S257" s="37" t="s">
        <v>3571</v>
      </c>
      <c r="T257" s="41" t="s">
        <v>3572</v>
      </c>
      <c r="U257" s="41" t="s">
        <v>3573</v>
      </c>
      <c r="V257" s="37" t="s">
        <v>59</v>
      </c>
      <c r="W257" s="39">
        <v>8175066.6799999997</v>
      </c>
      <c r="X257" s="37" t="s">
        <v>58</v>
      </c>
      <c r="Y257" s="37"/>
    </row>
    <row r="258" spans="1:25" s="43" customFormat="1" ht="409.6">
      <c r="A258" s="37" t="s">
        <v>39</v>
      </c>
      <c r="B258" s="48">
        <v>15</v>
      </c>
      <c r="C258" s="49" t="s">
        <v>330</v>
      </c>
      <c r="D258" s="37" t="s">
        <v>3574</v>
      </c>
      <c r="E258" s="37" t="s">
        <v>3578</v>
      </c>
      <c r="F258" s="37" t="s">
        <v>2880</v>
      </c>
      <c r="G258" s="37" t="s">
        <v>1407</v>
      </c>
      <c r="H258" s="37" t="s">
        <v>3575</v>
      </c>
      <c r="I258" s="38" t="s">
        <v>1358</v>
      </c>
      <c r="J258" s="38" t="s">
        <v>1477</v>
      </c>
      <c r="K258" s="37">
        <v>6</v>
      </c>
      <c r="L258" s="37" t="s">
        <v>2906</v>
      </c>
      <c r="M258" s="39">
        <v>17000</v>
      </c>
      <c r="N258" s="37" t="s">
        <v>3576</v>
      </c>
      <c r="O258" s="40">
        <v>1</v>
      </c>
      <c r="P258" s="39">
        <v>17000</v>
      </c>
      <c r="Q258" s="37" t="s">
        <v>3576</v>
      </c>
      <c r="R258" s="37" t="s">
        <v>3577</v>
      </c>
      <c r="S258" s="37" t="s">
        <v>3579</v>
      </c>
      <c r="T258" s="41" t="s">
        <v>3580</v>
      </c>
      <c r="U258" s="41" t="s">
        <v>3581</v>
      </c>
      <c r="V258" s="37" t="s">
        <v>59</v>
      </c>
      <c r="W258" s="45" t="s">
        <v>461</v>
      </c>
      <c r="X258" s="37" t="s">
        <v>74</v>
      </c>
      <c r="Y258" s="37"/>
    </row>
    <row r="259" spans="1:25" s="6" customFormat="1" ht="303.60000000000002">
      <c r="A259" s="6" t="s">
        <v>39</v>
      </c>
      <c r="B259" s="7" t="s">
        <v>1331</v>
      </c>
      <c r="C259" s="7" t="s">
        <v>340</v>
      </c>
      <c r="D259" s="6" t="s">
        <v>1405</v>
      </c>
      <c r="E259" s="6" t="s">
        <v>1406</v>
      </c>
      <c r="F259" s="6" t="s">
        <v>40</v>
      </c>
      <c r="G259" s="6" t="s">
        <v>1407</v>
      </c>
      <c r="H259" s="6" t="s">
        <v>1408</v>
      </c>
      <c r="I259" s="7" t="s">
        <v>1358</v>
      </c>
      <c r="J259" s="7" t="s">
        <v>1409</v>
      </c>
      <c r="K259" s="6">
        <v>4</v>
      </c>
      <c r="L259" s="6" t="s">
        <v>43</v>
      </c>
      <c r="M259" s="8">
        <v>11910</v>
      </c>
      <c r="N259" s="6" t="s">
        <v>1410</v>
      </c>
      <c r="O259" s="24">
        <v>1</v>
      </c>
      <c r="P259" s="8">
        <v>11910</v>
      </c>
      <c r="Q259" s="6" t="s">
        <v>1410</v>
      </c>
      <c r="R259" s="6" t="s">
        <v>52</v>
      </c>
      <c r="S259" s="6" t="s">
        <v>1411</v>
      </c>
      <c r="T259" s="10" t="s">
        <v>1412</v>
      </c>
      <c r="U259" s="10" t="s">
        <v>1413</v>
      </c>
      <c r="V259" s="6" t="s">
        <v>59</v>
      </c>
      <c r="W259" s="8">
        <v>11910</v>
      </c>
      <c r="X259" s="6" t="s">
        <v>74</v>
      </c>
      <c r="Y259" s="6" t="s">
        <v>1414</v>
      </c>
    </row>
    <row r="260" spans="1:25" s="6" customFormat="1" ht="331.2">
      <c r="A260" s="6" t="s">
        <v>39</v>
      </c>
      <c r="B260" s="7" t="s">
        <v>1331</v>
      </c>
      <c r="C260" s="7" t="s">
        <v>348</v>
      </c>
      <c r="D260" s="6" t="s">
        <v>1415</v>
      </c>
      <c r="E260" s="6" t="s">
        <v>1416</v>
      </c>
      <c r="F260" s="6" t="s">
        <v>40</v>
      </c>
      <c r="G260" s="6" t="s">
        <v>55</v>
      </c>
      <c r="H260" s="6" t="s">
        <v>1417</v>
      </c>
      <c r="I260" s="7" t="s">
        <v>1418</v>
      </c>
      <c r="J260" s="7" t="s">
        <v>1419</v>
      </c>
      <c r="K260" s="6">
        <v>4</v>
      </c>
      <c r="L260" s="6" t="s">
        <v>43</v>
      </c>
      <c r="M260" s="8">
        <v>53202.49</v>
      </c>
      <c r="N260" s="6" t="s">
        <v>1420</v>
      </c>
      <c r="O260" s="24">
        <v>1</v>
      </c>
      <c r="P260" s="8">
        <v>53202.49</v>
      </c>
      <c r="Q260" s="6" t="s">
        <v>1420</v>
      </c>
      <c r="R260" s="6" t="s">
        <v>1369</v>
      </c>
      <c r="S260" s="6" t="s">
        <v>1370</v>
      </c>
      <c r="T260" s="10" t="s">
        <v>1421</v>
      </c>
      <c r="U260" s="10" t="s">
        <v>1422</v>
      </c>
      <c r="V260" s="6" t="s">
        <v>59</v>
      </c>
      <c r="W260" s="8">
        <v>84468669</v>
      </c>
      <c r="X260" s="6" t="s">
        <v>58</v>
      </c>
    </row>
    <row r="261" spans="1:25" s="6" customFormat="1" ht="220.8">
      <c r="A261" s="6" t="s">
        <v>39</v>
      </c>
      <c r="B261" s="7" t="s">
        <v>1331</v>
      </c>
      <c r="C261" s="7" t="s">
        <v>358</v>
      </c>
      <c r="D261" s="6" t="s">
        <v>1423</v>
      </c>
      <c r="E261" s="6" t="s">
        <v>1424</v>
      </c>
      <c r="F261" s="6" t="s">
        <v>40</v>
      </c>
      <c r="G261" s="6" t="s">
        <v>55</v>
      </c>
      <c r="H261" s="6" t="s">
        <v>1069</v>
      </c>
      <c r="I261" s="7" t="s">
        <v>1425</v>
      </c>
      <c r="J261" s="7" t="s">
        <v>1425</v>
      </c>
      <c r="K261" s="6" t="s">
        <v>1199</v>
      </c>
      <c r="L261" s="6" t="s">
        <v>43</v>
      </c>
      <c r="M261" s="8">
        <v>8820</v>
      </c>
      <c r="N261" s="6" t="s">
        <v>1426</v>
      </c>
      <c r="O261" s="24">
        <v>1</v>
      </c>
      <c r="P261" s="8">
        <v>8820</v>
      </c>
      <c r="Q261" s="6" t="s">
        <v>1426</v>
      </c>
      <c r="R261" s="6" t="s">
        <v>291</v>
      </c>
      <c r="S261" s="6" t="s">
        <v>1427</v>
      </c>
      <c r="T261" s="10" t="s">
        <v>1428</v>
      </c>
      <c r="U261" s="10" t="s">
        <v>1429</v>
      </c>
      <c r="V261" s="6" t="s">
        <v>59</v>
      </c>
      <c r="W261" s="8">
        <v>4100421.66</v>
      </c>
      <c r="X261" s="6" t="s">
        <v>74</v>
      </c>
    </row>
    <row r="262" spans="1:25" s="6" customFormat="1" ht="386.4">
      <c r="A262" s="6" t="s">
        <v>39</v>
      </c>
      <c r="B262" s="7" t="s">
        <v>1331</v>
      </c>
      <c r="C262" s="7" t="s">
        <v>494</v>
      </c>
      <c r="D262" s="6" t="s">
        <v>1430</v>
      </c>
      <c r="E262" s="6" t="s">
        <v>1431</v>
      </c>
      <c r="F262" s="6" t="s">
        <v>40</v>
      </c>
      <c r="G262" s="6" t="s">
        <v>55</v>
      </c>
      <c r="H262" s="6" t="s">
        <v>1432</v>
      </c>
      <c r="I262" s="7" t="s">
        <v>1425</v>
      </c>
      <c r="J262" s="7" t="s">
        <v>1425</v>
      </c>
      <c r="K262" s="6" t="s">
        <v>1199</v>
      </c>
      <c r="L262" s="6" t="s">
        <v>43</v>
      </c>
      <c r="M262" s="8">
        <v>2750</v>
      </c>
      <c r="N262" s="6" t="s">
        <v>1433</v>
      </c>
      <c r="O262" s="24">
        <v>1</v>
      </c>
      <c r="P262" s="8">
        <v>2750</v>
      </c>
      <c r="Q262" s="6" t="s">
        <v>1433</v>
      </c>
      <c r="R262" s="6" t="s">
        <v>291</v>
      </c>
      <c r="S262" s="6" t="s">
        <v>1427</v>
      </c>
      <c r="T262" s="10" t="s">
        <v>1434</v>
      </c>
      <c r="U262" s="10" t="s">
        <v>1435</v>
      </c>
      <c r="V262" s="6" t="s">
        <v>59</v>
      </c>
      <c r="W262" s="8">
        <v>10601167.460000001</v>
      </c>
      <c r="X262" s="6" t="s">
        <v>74</v>
      </c>
    </row>
    <row r="263" spans="1:25" s="42" customFormat="1" ht="96.6">
      <c r="A263" s="37" t="s">
        <v>39</v>
      </c>
      <c r="B263" s="38" t="s">
        <v>1331</v>
      </c>
      <c r="C263" s="38" t="s">
        <v>505</v>
      </c>
      <c r="D263" s="37" t="s">
        <v>3582</v>
      </c>
      <c r="E263" s="37" t="s">
        <v>3583</v>
      </c>
      <c r="F263" s="37" t="s">
        <v>1278</v>
      </c>
      <c r="G263" s="37" t="s">
        <v>55</v>
      </c>
      <c r="H263" s="37" t="s">
        <v>158</v>
      </c>
      <c r="I263" s="38" t="s">
        <v>1348</v>
      </c>
      <c r="J263" s="38" t="s">
        <v>1419</v>
      </c>
      <c r="K263" s="37">
        <v>7</v>
      </c>
      <c r="L263" s="37" t="s">
        <v>43</v>
      </c>
      <c r="M263" s="39">
        <v>23391.599999999999</v>
      </c>
      <c r="N263" s="37" t="s">
        <v>3584</v>
      </c>
      <c r="O263" s="40">
        <v>1</v>
      </c>
      <c r="P263" s="39">
        <v>23391.599999999999</v>
      </c>
      <c r="Q263" s="37" t="s">
        <v>3584</v>
      </c>
      <c r="R263" s="37" t="s">
        <v>3585</v>
      </c>
      <c r="S263" s="37" t="s">
        <v>3586</v>
      </c>
      <c r="T263" s="41" t="s">
        <v>3587</v>
      </c>
      <c r="U263" s="41" t="s">
        <v>3588</v>
      </c>
      <c r="V263" s="37" t="s">
        <v>59</v>
      </c>
      <c r="W263" s="39">
        <v>23391.599999999999</v>
      </c>
      <c r="X263" s="37" t="s">
        <v>74</v>
      </c>
      <c r="Y263" s="37"/>
    </row>
    <row r="264" spans="1:25" s="42" customFormat="1" ht="220.8">
      <c r="A264" s="37" t="s">
        <v>39</v>
      </c>
      <c r="B264" s="38" t="s">
        <v>1331</v>
      </c>
      <c r="C264" s="38" t="s">
        <v>514</v>
      </c>
      <c r="D264" s="37" t="s">
        <v>3589</v>
      </c>
      <c r="E264" s="37" t="s">
        <v>3590</v>
      </c>
      <c r="F264" s="37" t="s">
        <v>1278</v>
      </c>
      <c r="G264" s="37" t="s">
        <v>55</v>
      </c>
      <c r="H264" s="37" t="s">
        <v>3591</v>
      </c>
      <c r="I264" s="38" t="s">
        <v>1418</v>
      </c>
      <c r="J264" s="38" t="s">
        <v>1477</v>
      </c>
      <c r="K264" s="37">
        <v>2</v>
      </c>
      <c r="L264" s="37" t="s">
        <v>43</v>
      </c>
      <c r="M264" s="39">
        <v>30000</v>
      </c>
      <c r="N264" s="37" t="s">
        <v>3592</v>
      </c>
      <c r="O264" s="40">
        <v>1</v>
      </c>
      <c r="P264" s="39">
        <v>30000</v>
      </c>
      <c r="Q264" s="37" t="s">
        <v>3592</v>
      </c>
      <c r="R264" s="37" t="s">
        <v>1509</v>
      </c>
      <c r="S264" s="37" t="s">
        <v>3593</v>
      </c>
      <c r="T264" s="41" t="s">
        <v>3594</v>
      </c>
      <c r="U264" s="41" t="s">
        <v>3595</v>
      </c>
      <c r="V264" s="37" t="s">
        <v>59</v>
      </c>
      <c r="W264" s="39">
        <v>30000</v>
      </c>
      <c r="X264" s="37" t="s">
        <v>58</v>
      </c>
      <c r="Y264" s="37"/>
    </row>
    <row r="265" spans="1:25" s="6" customFormat="1" ht="289.8">
      <c r="A265" s="6" t="s">
        <v>39</v>
      </c>
      <c r="B265" s="7" t="s">
        <v>1331</v>
      </c>
      <c r="C265" s="7" t="s">
        <v>522</v>
      </c>
      <c r="D265" s="6" t="s">
        <v>1436</v>
      </c>
      <c r="E265" s="6" t="s">
        <v>1437</v>
      </c>
      <c r="F265" s="6" t="s">
        <v>40</v>
      </c>
      <c r="G265" s="6" t="s">
        <v>55</v>
      </c>
      <c r="H265" s="6" t="s">
        <v>158</v>
      </c>
      <c r="I265" s="7" t="s">
        <v>1409</v>
      </c>
      <c r="J265" s="7" t="s">
        <v>1438</v>
      </c>
      <c r="K265" s="6">
        <v>7</v>
      </c>
      <c r="L265" s="6" t="s">
        <v>43</v>
      </c>
      <c r="M265" s="8">
        <v>48995</v>
      </c>
      <c r="N265" s="6" t="s">
        <v>1439</v>
      </c>
      <c r="O265" s="24">
        <v>1</v>
      </c>
      <c r="P265" s="8">
        <v>48995</v>
      </c>
      <c r="Q265" s="6" t="s">
        <v>1439</v>
      </c>
      <c r="R265" s="6" t="s">
        <v>1121</v>
      </c>
      <c r="S265" s="6" t="s">
        <v>1440</v>
      </c>
      <c r="T265" s="10" t="s">
        <v>1441</v>
      </c>
      <c r="U265" s="10" t="s">
        <v>1442</v>
      </c>
      <c r="V265" s="6" t="s">
        <v>59</v>
      </c>
      <c r="W265" s="8">
        <v>48995</v>
      </c>
      <c r="X265" s="6" t="s">
        <v>58</v>
      </c>
    </row>
    <row r="266" spans="1:25" s="6" customFormat="1" ht="386.4">
      <c r="A266" s="6" t="s">
        <v>39</v>
      </c>
      <c r="B266" s="7" t="s">
        <v>1331</v>
      </c>
      <c r="C266" s="7" t="s">
        <v>528</v>
      </c>
      <c r="D266" s="6" t="s">
        <v>1443</v>
      </c>
      <c r="E266" s="6" t="s">
        <v>1444</v>
      </c>
      <c r="F266" s="6" t="s">
        <v>40</v>
      </c>
      <c r="G266" s="6" t="s">
        <v>55</v>
      </c>
      <c r="H266" s="6" t="s">
        <v>158</v>
      </c>
      <c r="I266" s="7" t="s">
        <v>1348</v>
      </c>
      <c r="J266" s="7" t="s">
        <v>1348</v>
      </c>
      <c r="K266" s="6" t="s">
        <v>1199</v>
      </c>
      <c r="L266" s="6" t="s">
        <v>43</v>
      </c>
      <c r="M266" s="8">
        <v>4930</v>
      </c>
      <c r="N266" s="6" t="s">
        <v>1445</v>
      </c>
      <c r="O266" s="24">
        <v>1</v>
      </c>
      <c r="P266" s="8">
        <v>4930</v>
      </c>
      <c r="Q266" s="6" t="s">
        <v>1445</v>
      </c>
      <c r="R266" s="6" t="s">
        <v>291</v>
      </c>
      <c r="S266" s="6" t="s">
        <v>1328</v>
      </c>
      <c r="T266" s="10" t="s">
        <v>1446</v>
      </c>
      <c r="U266" s="10" t="s">
        <v>1447</v>
      </c>
      <c r="V266" s="6" t="s">
        <v>59</v>
      </c>
      <c r="W266" s="8">
        <v>5217860.58</v>
      </c>
      <c r="X266" s="6" t="s">
        <v>74</v>
      </c>
      <c r="Y266" s="6" t="s">
        <v>1448</v>
      </c>
    </row>
    <row r="267" spans="1:25" s="6" customFormat="1" ht="289.8">
      <c r="A267" s="6" t="s">
        <v>39</v>
      </c>
      <c r="B267" s="7" t="s">
        <v>1449</v>
      </c>
      <c r="C267" s="7" t="s">
        <v>80</v>
      </c>
      <c r="D267" s="6" t="s">
        <v>1450</v>
      </c>
      <c r="E267" s="6" t="s">
        <v>1451</v>
      </c>
      <c r="F267" s="6" t="s">
        <v>40</v>
      </c>
      <c r="G267" s="6" t="s">
        <v>55</v>
      </c>
      <c r="H267" s="6" t="s">
        <v>137</v>
      </c>
      <c r="I267" s="7" t="s">
        <v>1409</v>
      </c>
      <c r="J267" s="7" t="s">
        <v>1452</v>
      </c>
      <c r="K267" s="6">
        <v>12</v>
      </c>
      <c r="L267" s="6" t="s">
        <v>43</v>
      </c>
      <c r="M267" s="8">
        <v>180000</v>
      </c>
      <c r="N267" s="6" t="s">
        <v>1453</v>
      </c>
      <c r="O267" s="24">
        <v>1</v>
      </c>
      <c r="P267" s="8">
        <v>180000</v>
      </c>
      <c r="Q267" s="6" t="s">
        <v>1453</v>
      </c>
      <c r="R267" s="6" t="s">
        <v>1121</v>
      </c>
      <c r="S267" s="6" t="s">
        <v>1454</v>
      </c>
      <c r="T267" s="10" t="s">
        <v>1455</v>
      </c>
      <c r="U267" s="10" t="s">
        <v>1456</v>
      </c>
      <c r="V267" s="6" t="s">
        <v>59</v>
      </c>
      <c r="W267" s="8">
        <v>180000</v>
      </c>
      <c r="X267" s="6" t="s">
        <v>58</v>
      </c>
    </row>
    <row r="268" spans="1:25" s="6" customFormat="1" ht="276">
      <c r="A268" s="6" t="s">
        <v>39</v>
      </c>
      <c r="B268" s="7" t="s">
        <v>1449</v>
      </c>
      <c r="C268" s="7" t="s">
        <v>93</v>
      </c>
      <c r="D268" s="6" t="s">
        <v>1457</v>
      </c>
      <c r="E268" s="6" t="s">
        <v>1458</v>
      </c>
      <c r="F268" s="6" t="s">
        <v>40</v>
      </c>
      <c r="G268" s="6" t="s">
        <v>55</v>
      </c>
      <c r="H268" s="6" t="s">
        <v>325</v>
      </c>
      <c r="I268" s="7" t="s">
        <v>1409</v>
      </c>
      <c r="J268" s="7" t="s">
        <v>1418</v>
      </c>
      <c r="K268" s="6" t="s">
        <v>1199</v>
      </c>
      <c r="L268" s="6" t="s">
        <v>43</v>
      </c>
      <c r="M268" s="8">
        <v>1900</v>
      </c>
      <c r="N268" s="6" t="s">
        <v>1459</v>
      </c>
      <c r="O268" s="24">
        <v>1</v>
      </c>
      <c r="P268" s="8">
        <v>1900</v>
      </c>
      <c r="Q268" s="6" t="s">
        <v>1459</v>
      </c>
      <c r="R268" s="6" t="s">
        <v>291</v>
      </c>
      <c r="S268" s="6" t="s">
        <v>1460</v>
      </c>
      <c r="T268" s="10" t="s">
        <v>1461</v>
      </c>
      <c r="U268" s="10" t="s">
        <v>1462</v>
      </c>
      <c r="V268" s="6" t="s">
        <v>59</v>
      </c>
      <c r="W268" s="8">
        <v>5458384.7000000002</v>
      </c>
      <c r="X268" s="6" t="s">
        <v>74</v>
      </c>
    </row>
    <row r="269" spans="1:25" s="43" customFormat="1" ht="409.6">
      <c r="A269" s="37" t="s">
        <v>39</v>
      </c>
      <c r="B269" s="37">
        <v>16</v>
      </c>
      <c r="C269" s="38" t="s">
        <v>104</v>
      </c>
      <c r="D269" s="37" t="s">
        <v>3596</v>
      </c>
      <c r="E269" s="37" t="s">
        <v>3597</v>
      </c>
      <c r="F269" s="37" t="s">
        <v>2880</v>
      </c>
      <c r="G269" s="37" t="s">
        <v>55</v>
      </c>
      <c r="H269" s="37" t="s">
        <v>1069</v>
      </c>
      <c r="I269" s="38" t="s">
        <v>1467</v>
      </c>
      <c r="J269" s="38" t="s">
        <v>1468</v>
      </c>
      <c r="K269" s="37">
        <v>8</v>
      </c>
      <c r="L269" s="37" t="s">
        <v>2998</v>
      </c>
      <c r="M269" s="39">
        <v>64955</v>
      </c>
      <c r="N269" s="37" t="s">
        <v>3598</v>
      </c>
      <c r="O269" s="40">
        <v>1</v>
      </c>
      <c r="P269" s="39">
        <v>32477.5</v>
      </c>
      <c r="Q269" s="37" t="s">
        <v>3599</v>
      </c>
      <c r="R269" s="37" t="s">
        <v>1509</v>
      </c>
      <c r="S269" s="37" t="s">
        <v>3600</v>
      </c>
      <c r="T269" s="41" t="s">
        <v>3601</v>
      </c>
      <c r="U269" s="41" t="s">
        <v>3607</v>
      </c>
      <c r="V269" s="37" t="s">
        <v>59</v>
      </c>
      <c r="W269" s="39">
        <v>64955</v>
      </c>
      <c r="X269" s="37" t="s">
        <v>58</v>
      </c>
      <c r="Y269" s="37" t="s">
        <v>3609</v>
      </c>
    </row>
    <row r="270" spans="1:25" s="43" customFormat="1" ht="409.6">
      <c r="A270" s="37" t="s">
        <v>39</v>
      </c>
      <c r="B270" s="37">
        <v>16</v>
      </c>
      <c r="C270" s="38" t="s">
        <v>113</v>
      </c>
      <c r="D270" s="37" t="s">
        <v>3602</v>
      </c>
      <c r="E270" s="37" t="s">
        <v>3603</v>
      </c>
      <c r="F270" s="37" t="s">
        <v>2880</v>
      </c>
      <c r="G270" s="37" t="s">
        <v>55</v>
      </c>
      <c r="H270" s="37" t="s">
        <v>158</v>
      </c>
      <c r="I270" s="38" t="s">
        <v>1467</v>
      </c>
      <c r="J270" s="38" t="s">
        <v>1792</v>
      </c>
      <c r="K270" s="37">
        <v>19</v>
      </c>
      <c r="L270" s="37" t="s">
        <v>2906</v>
      </c>
      <c r="M270" s="39">
        <v>56914.58</v>
      </c>
      <c r="N270" s="37" t="s">
        <v>3604</v>
      </c>
      <c r="O270" s="40">
        <v>1</v>
      </c>
      <c r="P270" s="39">
        <v>56914.58</v>
      </c>
      <c r="Q270" s="37" t="s">
        <v>3604</v>
      </c>
      <c r="R270" s="37" t="s">
        <v>1509</v>
      </c>
      <c r="S270" s="37" t="s">
        <v>3605</v>
      </c>
      <c r="T270" s="41" t="s">
        <v>3606</v>
      </c>
      <c r="U270" s="41" t="s">
        <v>3607</v>
      </c>
      <c r="V270" s="37" t="s">
        <v>59</v>
      </c>
      <c r="W270" s="39" t="s">
        <v>3608</v>
      </c>
      <c r="X270" s="37" t="s">
        <v>58</v>
      </c>
      <c r="Y270" s="37" t="s">
        <v>3610</v>
      </c>
    </row>
    <row r="271" spans="1:25" s="6" customFormat="1" ht="234.6">
      <c r="A271" s="6" t="s">
        <v>39</v>
      </c>
      <c r="B271" s="7" t="s">
        <v>1449</v>
      </c>
      <c r="C271" s="7" t="s">
        <v>167</v>
      </c>
      <c r="D271" s="6" t="s">
        <v>1463</v>
      </c>
      <c r="E271" s="6" t="s">
        <v>1464</v>
      </c>
      <c r="F271" s="6" t="s">
        <v>40</v>
      </c>
      <c r="G271" s="6" t="s">
        <v>1465</v>
      </c>
      <c r="H271" s="6" t="s">
        <v>1466</v>
      </c>
      <c r="I271" s="7" t="s">
        <v>1467</v>
      </c>
      <c r="J271" s="7" t="s">
        <v>1468</v>
      </c>
      <c r="K271" s="6">
        <v>8</v>
      </c>
      <c r="L271" s="6" t="s">
        <v>43</v>
      </c>
      <c r="M271" s="8">
        <v>44875</v>
      </c>
      <c r="N271" s="6" t="s">
        <v>1469</v>
      </c>
      <c r="O271" s="24">
        <v>1</v>
      </c>
      <c r="P271" s="8">
        <v>44875</v>
      </c>
      <c r="Q271" s="6" t="s">
        <v>1469</v>
      </c>
      <c r="R271" s="6" t="s">
        <v>1470</v>
      </c>
      <c r="S271" s="6" t="s">
        <v>1471</v>
      </c>
      <c r="T271" s="10" t="s">
        <v>1472</v>
      </c>
      <c r="U271" s="10" t="s">
        <v>1473</v>
      </c>
      <c r="V271" s="6">
        <v>32</v>
      </c>
      <c r="W271" s="8">
        <v>44875</v>
      </c>
      <c r="X271" s="6" t="s">
        <v>58</v>
      </c>
    </row>
    <row r="272" spans="1:25" s="6" customFormat="1" ht="262.2">
      <c r="A272" s="6" t="s">
        <v>39</v>
      </c>
      <c r="B272" s="7" t="s">
        <v>1449</v>
      </c>
      <c r="C272" s="7" t="s">
        <v>176</v>
      </c>
      <c r="D272" s="6" t="s">
        <v>1474</v>
      </c>
      <c r="E272" s="6" t="s">
        <v>1475</v>
      </c>
      <c r="F272" s="6" t="s">
        <v>40</v>
      </c>
      <c r="G272" s="6" t="s">
        <v>55</v>
      </c>
      <c r="H272" s="6" t="s">
        <v>1476</v>
      </c>
      <c r="I272" s="7" t="s">
        <v>1477</v>
      </c>
      <c r="J272" s="7" t="s">
        <v>1467</v>
      </c>
      <c r="K272" s="6" t="s">
        <v>1313</v>
      </c>
      <c r="L272" s="6" t="s">
        <v>43</v>
      </c>
      <c r="M272" s="8">
        <v>16660</v>
      </c>
      <c r="N272" s="6" t="s">
        <v>1478</v>
      </c>
      <c r="O272" s="24">
        <v>1</v>
      </c>
      <c r="P272" s="8">
        <v>16660</v>
      </c>
      <c r="Q272" s="6" t="s">
        <v>1478</v>
      </c>
      <c r="R272" s="6" t="s">
        <v>291</v>
      </c>
      <c r="S272" s="6" t="s">
        <v>1328</v>
      </c>
      <c r="T272" s="10" t="s">
        <v>1479</v>
      </c>
      <c r="U272" s="10" t="s">
        <v>1480</v>
      </c>
      <c r="V272" s="6" t="s">
        <v>59</v>
      </c>
      <c r="W272" s="8">
        <v>51750000</v>
      </c>
      <c r="X272" s="6" t="s">
        <v>74</v>
      </c>
    </row>
    <row r="273" spans="1:25" s="6" customFormat="1" ht="262.2">
      <c r="A273" s="6" t="s">
        <v>39</v>
      </c>
      <c r="B273" s="7" t="s">
        <v>1449</v>
      </c>
      <c r="C273" s="7" t="s">
        <v>183</v>
      </c>
      <c r="D273" s="6" t="s">
        <v>1481</v>
      </c>
      <c r="E273" s="6" t="s">
        <v>1482</v>
      </c>
      <c r="F273" s="6" t="s">
        <v>40</v>
      </c>
      <c r="G273" s="6" t="s">
        <v>55</v>
      </c>
      <c r="H273" s="6" t="s">
        <v>325</v>
      </c>
      <c r="I273" s="7" t="s">
        <v>1477</v>
      </c>
      <c r="J273" s="7" t="s">
        <v>1467</v>
      </c>
      <c r="K273" s="6" t="s">
        <v>1313</v>
      </c>
      <c r="L273" s="6" t="s">
        <v>43</v>
      </c>
      <c r="M273" s="8">
        <v>6200</v>
      </c>
      <c r="N273" s="6" t="s">
        <v>1483</v>
      </c>
      <c r="O273" s="24">
        <v>1</v>
      </c>
      <c r="P273" s="8">
        <v>6200</v>
      </c>
      <c r="Q273" s="6" t="s">
        <v>1483</v>
      </c>
      <c r="R273" s="6" t="s">
        <v>291</v>
      </c>
      <c r="S273" s="6" t="s">
        <v>1328</v>
      </c>
      <c r="T273" s="10" t="s">
        <v>1488</v>
      </c>
      <c r="U273" s="10" t="s">
        <v>1484</v>
      </c>
      <c r="V273" s="6" t="s">
        <v>59</v>
      </c>
      <c r="W273" s="8">
        <v>14194951.74</v>
      </c>
      <c r="X273" s="6" t="s">
        <v>74</v>
      </c>
    </row>
    <row r="274" spans="1:25" s="6" customFormat="1" ht="262.2">
      <c r="A274" s="6" t="s">
        <v>39</v>
      </c>
      <c r="B274" s="7" t="s">
        <v>1449</v>
      </c>
      <c r="C274" s="7" t="s">
        <v>114</v>
      </c>
      <c r="D274" s="6" t="s">
        <v>1485</v>
      </c>
      <c r="E274" s="6" t="s">
        <v>1486</v>
      </c>
      <c r="F274" s="6" t="s">
        <v>40</v>
      </c>
      <c r="G274" s="6" t="s">
        <v>55</v>
      </c>
      <c r="H274" s="6" t="s">
        <v>325</v>
      </c>
      <c r="I274" s="7" t="s">
        <v>1477</v>
      </c>
      <c r="J274" s="7" t="s">
        <v>1467</v>
      </c>
      <c r="K274" s="6" t="s">
        <v>1313</v>
      </c>
      <c r="L274" s="6" t="s">
        <v>43</v>
      </c>
      <c r="M274" s="8">
        <v>5150</v>
      </c>
      <c r="N274" s="6" t="s">
        <v>1487</v>
      </c>
      <c r="O274" s="24">
        <v>1</v>
      </c>
      <c r="P274" s="8">
        <v>5150</v>
      </c>
      <c r="Q274" s="6" t="s">
        <v>1487</v>
      </c>
      <c r="R274" s="6" t="s">
        <v>291</v>
      </c>
      <c r="S274" s="6" t="s">
        <v>1328</v>
      </c>
      <c r="T274" s="10" t="s">
        <v>1489</v>
      </c>
      <c r="U274" s="10" t="s">
        <v>1484</v>
      </c>
      <c r="V274" s="6" t="s">
        <v>59</v>
      </c>
      <c r="W274" s="8">
        <v>7889975</v>
      </c>
      <c r="X274" s="6" t="s">
        <v>74</v>
      </c>
    </row>
    <row r="275" spans="1:25" s="6" customFormat="1" ht="220.8">
      <c r="A275" s="6" t="s">
        <v>39</v>
      </c>
      <c r="B275" s="7" t="s">
        <v>1449</v>
      </c>
      <c r="C275" s="7" t="s">
        <v>125</v>
      </c>
      <c r="D275" s="6" t="s">
        <v>1490</v>
      </c>
      <c r="E275" s="6" t="s">
        <v>1491</v>
      </c>
      <c r="F275" s="6" t="s">
        <v>40</v>
      </c>
      <c r="G275" s="6" t="s">
        <v>55</v>
      </c>
      <c r="H275" s="6" t="s">
        <v>1492</v>
      </c>
      <c r="I275" s="7" t="s">
        <v>974</v>
      </c>
      <c r="J275" s="7" t="s">
        <v>1496</v>
      </c>
      <c r="K275" s="6">
        <v>17</v>
      </c>
      <c r="L275" s="6" t="s">
        <v>43</v>
      </c>
      <c r="M275" s="8">
        <v>165205.57999999999</v>
      </c>
      <c r="N275" s="6" t="s">
        <v>1493</v>
      </c>
      <c r="O275" s="24">
        <v>1</v>
      </c>
      <c r="P275" s="8">
        <v>165205.57999999999</v>
      </c>
      <c r="Q275" s="6" t="s">
        <v>1493</v>
      </c>
      <c r="R275" s="6" t="s">
        <v>1121</v>
      </c>
      <c r="S275" s="6" t="s">
        <v>1494</v>
      </c>
      <c r="T275" s="10" t="s">
        <v>1495</v>
      </c>
      <c r="U275" s="10" t="s">
        <v>1497</v>
      </c>
      <c r="V275" s="6" t="s">
        <v>59</v>
      </c>
      <c r="W275" s="8">
        <v>143999</v>
      </c>
      <c r="X275" s="6" t="s">
        <v>74</v>
      </c>
    </row>
    <row r="276" spans="1:25" s="6" customFormat="1" ht="345">
      <c r="A276" s="6" t="s">
        <v>39</v>
      </c>
      <c r="B276" s="7" t="s">
        <v>1449</v>
      </c>
      <c r="C276" s="7" t="s">
        <v>134</v>
      </c>
      <c r="D276" s="6" t="s">
        <v>1498</v>
      </c>
      <c r="E276" s="6" t="s">
        <v>1499</v>
      </c>
      <c r="F276" s="6" t="s">
        <v>40</v>
      </c>
      <c r="G276" s="6" t="s">
        <v>41</v>
      </c>
      <c r="H276" s="6" t="s">
        <v>42</v>
      </c>
      <c r="I276" s="7" t="s">
        <v>1467</v>
      </c>
      <c r="J276" s="7" t="s">
        <v>1467</v>
      </c>
      <c r="K276" s="6" t="s">
        <v>1313</v>
      </c>
      <c r="L276" s="6" t="s">
        <v>43</v>
      </c>
      <c r="M276" s="8">
        <v>17700</v>
      </c>
      <c r="N276" s="6" t="s">
        <v>1500</v>
      </c>
      <c r="O276" s="24">
        <v>1</v>
      </c>
      <c r="P276" s="8">
        <v>17700</v>
      </c>
      <c r="Q276" s="6" t="s">
        <v>1500</v>
      </c>
      <c r="R276" s="6" t="s">
        <v>1501</v>
      </c>
      <c r="S276" s="6" t="s">
        <v>1502</v>
      </c>
      <c r="T276" s="10" t="s">
        <v>1503</v>
      </c>
      <c r="U276" s="10" t="s">
        <v>1504</v>
      </c>
      <c r="V276" s="6">
        <v>6.6340000000000003</v>
      </c>
      <c r="W276" s="8">
        <v>17700</v>
      </c>
      <c r="X276" s="6" t="s">
        <v>58</v>
      </c>
    </row>
    <row r="277" spans="1:25" s="6" customFormat="1" ht="409.6">
      <c r="A277" s="6" t="s">
        <v>39</v>
      </c>
      <c r="B277" s="6">
        <v>16</v>
      </c>
      <c r="C277" s="7" t="s">
        <v>191</v>
      </c>
      <c r="D277" s="6" t="s">
        <v>1505</v>
      </c>
      <c r="E277" s="6" t="s">
        <v>1506</v>
      </c>
      <c r="F277" s="6" t="s">
        <v>1278</v>
      </c>
      <c r="G277" s="6" t="s">
        <v>55</v>
      </c>
      <c r="H277" s="6" t="s">
        <v>600</v>
      </c>
      <c r="I277" s="7" t="s">
        <v>1419</v>
      </c>
      <c r="J277" s="7" t="s">
        <v>1507</v>
      </c>
      <c r="K277" s="6">
        <v>22</v>
      </c>
      <c r="L277" s="6" t="s">
        <v>43</v>
      </c>
      <c r="M277" s="8">
        <v>148398</v>
      </c>
      <c r="N277" s="6" t="s">
        <v>1508</v>
      </c>
      <c r="O277" s="24">
        <v>1</v>
      </c>
      <c r="P277" s="8">
        <v>148398</v>
      </c>
      <c r="Q277" s="6" t="s">
        <v>1508</v>
      </c>
      <c r="R277" s="6" t="s">
        <v>1509</v>
      </c>
      <c r="S277" s="6" t="s">
        <v>1510</v>
      </c>
      <c r="T277" s="10" t="s">
        <v>1511</v>
      </c>
      <c r="U277" s="10" t="s">
        <v>1512</v>
      </c>
      <c r="V277" s="6" t="s">
        <v>59</v>
      </c>
      <c r="W277" s="8">
        <v>148398</v>
      </c>
      <c r="X277" s="6" t="s">
        <v>1513</v>
      </c>
    </row>
    <row r="278" spans="1:25" s="6" customFormat="1" ht="262.2">
      <c r="A278" s="6" t="s">
        <v>39</v>
      </c>
      <c r="B278" s="7" t="s">
        <v>1449</v>
      </c>
      <c r="C278" s="7" t="s">
        <v>273</v>
      </c>
      <c r="D278" s="6" t="s">
        <v>1514</v>
      </c>
      <c r="E278" s="6" t="s">
        <v>1515</v>
      </c>
      <c r="F278" s="6" t="s">
        <v>40</v>
      </c>
      <c r="G278" s="6" t="s">
        <v>55</v>
      </c>
      <c r="H278" s="6" t="s">
        <v>613</v>
      </c>
      <c r="I278" s="7" t="s">
        <v>1467</v>
      </c>
      <c r="J278" s="7" t="s">
        <v>1467</v>
      </c>
      <c r="K278" s="6" t="s">
        <v>1313</v>
      </c>
      <c r="L278" s="6" t="s">
        <v>43</v>
      </c>
      <c r="M278" s="8">
        <v>2275</v>
      </c>
      <c r="N278" s="6" t="s">
        <v>1516</v>
      </c>
      <c r="O278" s="24">
        <v>1</v>
      </c>
      <c r="P278" s="8">
        <v>2275</v>
      </c>
      <c r="Q278" s="6" t="s">
        <v>1516</v>
      </c>
      <c r="R278" s="6" t="s">
        <v>291</v>
      </c>
      <c r="S278" s="6" t="s">
        <v>1328</v>
      </c>
      <c r="T278" s="10" t="s">
        <v>1517</v>
      </c>
      <c r="U278" s="10" t="s">
        <v>1518</v>
      </c>
      <c r="V278" s="6" t="s">
        <v>59</v>
      </c>
      <c r="W278" s="8">
        <v>25926533.719999999</v>
      </c>
      <c r="X278" s="6" t="s">
        <v>74</v>
      </c>
    </row>
    <row r="279" spans="1:25" s="6" customFormat="1" ht="220.8">
      <c r="A279" s="6" t="s">
        <v>39</v>
      </c>
      <c r="B279" s="6">
        <v>16</v>
      </c>
      <c r="C279" s="7" t="s">
        <v>192</v>
      </c>
      <c r="D279" s="6" t="s">
        <v>1519</v>
      </c>
      <c r="E279" s="6" t="s">
        <v>1520</v>
      </c>
      <c r="F279" s="6" t="s">
        <v>1278</v>
      </c>
      <c r="G279" s="6" t="s">
        <v>55</v>
      </c>
      <c r="H279" s="6" t="s">
        <v>214</v>
      </c>
      <c r="I279" s="7" t="s">
        <v>1419</v>
      </c>
      <c r="J279" s="7" t="s">
        <v>1119</v>
      </c>
      <c r="K279" s="6">
        <v>7</v>
      </c>
      <c r="L279" s="6" t="s">
        <v>43</v>
      </c>
      <c r="M279" s="8">
        <v>6080</v>
      </c>
      <c r="N279" s="6" t="s">
        <v>1521</v>
      </c>
      <c r="O279" s="24">
        <v>1</v>
      </c>
      <c r="P279" s="8">
        <v>6080</v>
      </c>
      <c r="Q279" s="6" t="s">
        <v>1521</v>
      </c>
      <c r="R279" s="6" t="s">
        <v>1522</v>
      </c>
      <c r="S279" s="6" t="s">
        <v>1523</v>
      </c>
      <c r="T279" s="10" t="s">
        <v>1524</v>
      </c>
      <c r="U279" s="10" t="s">
        <v>1525</v>
      </c>
      <c r="V279" s="6" t="s">
        <v>59</v>
      </c>
      <c r="W279" s="8">
        <v>6080</v>
      </c>
      <c r="X279" s="6" t="s">
        <v>74</v>
      </c>
    </row>
    <row r="280" spans="1:25" s="6" customFormat="1" ht="289.8">
      <c r="A280" s="6" t="s">
        <v>39</v>
      </c>
      <c r="B280" s="6">
        <v>16</v>
      </c>
      <c r="C280" s="7" t="s">
        <v>201</v>
      </c>
      <c r="D280" s="6" t="s">
        <v>1526</v>
      </c>
      <c r="E280" s="6" t="s">
        <v>1527</v>
      </c>
      <c r="F280" s="6" t="s">
        <v>1278</v>
      </c>
      <c r="G280" s="6" t="s">
        <v>55</v>
      </c>
      <c r="H280" s="6" t="s">
        <v>1528</v>
      </c>
      <c r="I280" s="7" t="s">
        <v>974</v>
      </c>
      <c r="J280" s="7" t="s">
        <v>1529</v>
      </c>
      <c r="K280" s="6">
        <v>12</v>
      </c>
      <c r="L280" s="6" t="s">
        <v>43</v>
      </c>
      <c r="M280" s="8">
        <v>39848</v>
      </c>
      <c r="N280" s="6" t="s">
        <v>1530</v>
      </c>
      <c r="O280" s="24">
        <v>1</v>
      </c>
      <c r="P280" s="8">
        <v>39848</v>
      </c>
      <c r="Q280" s="6" t="s">
        <v>1530</v>
      </c>
      <c r="R280" s="6" t="s">
        <v>1509</v>
      </c>
      <c r="S280" s="6" t="s">
        <v>1853</v>
      </c>
      <c r="T280" s="10" t="s">
        <v>1531</v>
      </c>
      <c r="U280" s="10" t="s">
        <v>1532</v>
      </c>
      <c r="V280" s="6" t="s">
        <v>59</v>
      </c>
      <c r="W280" s="8">
        <v>39848</v>
      </c>
      <c r="X280" s="6" t="s">
        <v>58</v>
      </c>
    </row>
    <row r="281" spans="1:25" s="6" customFormat="1" ht="234.6">
      <c r="A281" s="6" t="s">
        <v>39</v>
      </c>
      <c r="B281" s="7" t="s">
        <v>1449</v>
      </c>
      <c r="C281" s="7" t="s">
        <v>285</v>
      </c>
      <c r="D281" s="6" t="s">
        <v>1533</v>
      </c>
      <c r="E281" s="6" t="s">
        <v>1534</v>
      </c>
      <c r="F281" s="6" t="s">
        <v>40</v>
      </c>
      <c r="G281" s="6" t="s">
        <v>1535</v>
      </c>
      <c r="H281" s="6" t="s">
        <v>1536</v>
      </c>
      <c r="I281" s="7" t="s">
        <v>1438</v>
      </c>
      <c r="J281" s="7" t="s">
        <v>1537</v>
      </c>
      <c r="K281" s="6">
        <v>8</v>
      </c>
      <c r="L281" s="6" t="s">
        <v>289</v>
      </c>
      <c r="M281" s="6" t="s">
        <v>1539</v>
      </c>
      <c r="N281" s="6" t="s">
        <v>1538</v>
      </c>
      <c r="O281" s="24">
        <v>0.5</v>
      </c>
      <c r="P281" s="8">
        <v>109603.95</v>
      </c>
      <c r="Q281" s="6" t="s">
        <v>1540</v>
      </c>
      <c r="R281" s="6" t="s">
        <v>1541</v>
      </c>
      <c r="S281" s="6" t="s">
        <v>1542</v>
      </c>
      <c r="T281" s="10" t="s">
        <v>1543</v>
      </c>
      <c r="U281" s="10" t="s">
        <v>1544</v>
      </c>
      <c r="V281" s="6">
        <v>0.307</v>
      </c>
      <c r="W281" s="8">
        <v>16236512.949999999</v>
      </c>
      <c r="X281" s="6" t="s">
        <v>58</v>
      </c>
    </row>
    <row r="282" spans="1:25" s="6" customFormat="1" ht="317.39999999999998">
      <c r="A282" s="6" t="s">
        <v>39</v>
      </c>
      <c r="B282" s="7" t="s">
        <v>1449</v>
      </c>
      <c r="C282" s="7" t="s">
        <v>305</v>
      </c>
      <c r="D282" s="6" t="s">
        <v>1545</v>
      </c>
      <c r="E282" s="6" t="s">
        <v>1546</v>
      </c>
      <c r="F282" s="6" t="s">
        <v>40</v>
      </c>
      <c r="G282" s="6" t="s">
        <v>55</v>
      </c>
      <c r="H282" s="6" t="s">
        <v>1547</v>
      </c>
      <c r="I282" s="7" t="s">
        <v>1419</v>
      </c>
      <c r="J282" s="7" t="s">
        <v>1398</v>
      </c>
      <c r="K282" s="6">
        <v>4</v>
      </c>
      <c r="L282" s="6" t="s">
        <v>43</v>
      </c>
      <c r="M282" s="8">
        <v>37800</v>
      </c>
      <c r="N282" s="6" t="s">
        <v>1548</v>
      </c>
      <c r="O282" s="24">
        <v>1</v>
      </c>
      <c r="P282" s="8">
        <v>37800</v>
      </c>
      <c r="Q282" s="6" t="s">
        <v>1548</v>
      </c>
      <c r="R282" s="6" t="s">
        <v>1549</v>
      </c>
      <c r="S282" s="6" t="s">
        <v>1550</v>
      </c>
      <c r="T282" s="10" t="s">
        <v>1551</v>
      </c>
      <c r="U282" s="10" t="s">
        <v>1552</v>
      </c>
      <c r="V282" s="6" t="s">
        <v>59</v>
      </c>
      <c r="W282" s="8">
        <v>37800</v>
      </c>
      <c r="X282" s="6" t="s">
        <v>74</v>
      </c>
    </row>
    <row r="283" spans="1:25" s="6" customFormat="1" ht="317.39999999999998">
      <c r="A283" s="6" t="s">
        <v>39</v>
      </c>
      <c r="B283" s="6">
        <v>16</v>
      </c>
      <c r="C283" s="7" t="s">
        <v>314</v>
      </c>
      <c r="D283" s="6" t="s">
        <v>1553</v>
      </c>
      <c r="E283" s="6" t="s">
        <v>1556</v>
      </c>
      <c r="F283" s="6" t="s">
        <v>1278</v>
      </c>
      <c r="G283" s="6" t="s">
        <v>55</v>
      </c>
      <c r="H283" s="6" t="s">
        <v>1554</v>
      </c>
      <c r="I283" s="7" t="s">
        <v>1419</v>
      </c>
      <c r="J283" s="7" t="s">
        <v>1279</v>
      </c>
      <c r="K283" s="6">
        <v>2</v>
      </c>
      <c r="L283" s="6" t="s">
        <v>289</v>
      </c>
      <c r="M283" s="8">
        <v>16865</v>
      </c>
      <c r="N283" s="6" t="s">
        <v>1555</v>
      </c>
      <c r="O283" s="24">
        <v>1</v>
      </c>
      <c r="P283" s="8">
        <v>16865</v>
      </c>
      <c r="Q283" s="6" t="s">
        <v>1555</v>
      </c>
      <c r="R283" s="6" t="s">
        <v>1509</v>
      </c>
      <c r="S283" s="6" t="s">
        <v>1557</v>
      </c>
      <c r="T283" s="10" t="s">
        <v>1558</v>
      </c>
      <c r="U283" s="10" t="s">
        <v>1559</v>
      </c>
      <c r="V283" s="6" t="s">
        <v>59</v>
      </c>
      <c r="W283" s="8">
        <v>44916.98</v>
      </c>
      <c r="X283" s="6" t="s">
        <v>74</v>
      </c>
    </row>
    <row r="284" spans="1:25" s="6" customFormat="1" ht="289.8">
      <c r="A284" s="6" t="s">
        <v>39</v>
      </c>
      <c r="B284" s="6">
        <v>16</v>
      </c>
      <c r="C284" s="7" t="s">
        <v>323</v>
      </c>
      <c r="D284" s="6" t="s">
        <v>1560</v>
      </c>
      <c r="E284" s="6" t="s">
        <v>1561</v>
      </c>
      <c r="F284" s="6" t="s">
        <v>1568</v>
      </c>
      <c r="G284" s="6" t="s">
        <v>55</v>
      </c>
      <c r="H284" s="6" t="s">
        <v>613</v>
      </c>
      <c r="I284" s="7" t="s">
        <v>1438</v>
      </c>
      <c r="J284" s="7" t="s">
        <v>1438</v>
      </c>
      <c r="K284" s="6" t="s">
        <v>1562</v>
      </c>
      <c r="L284" s="6" t="s">
        <v>1589</v>
      </c>
      <c r="M284" s="8">
        <v>12385.03</v>
      </c>
      <c r="N284" s="6" t="s">
        <v>1567</v>
      </c>
      <c r="O284" s="24">
        <v>1</v>
      </c>
      <c r="P284" s="8">
        <v>12385.03</v>
      </c>
      <c r="Q284" s="6" t="s">
        <v>1567</v>
      </c>
      <c r="R284" s="6" t="s">
        <v>1560</v>
      </c>
      <c r="S284" s="6" t="s">
        <v>1564</v>
      </c>
      <c r="T284" s="10" t="s">
        <v>1565</v>
      </c>
      <c r="U284" s="10" t="s">
        <v>1566</v>
      </c>
      <c r="V284" s="6" t="s">
        <v>59</v>
      </c>
      <c r="W284" s="8">
        <v>12385.03</v>
      </c>
      <c r="X284" s="6" t="s">
        <v>74</v>
      </c>
    </row>
    <row r="285" spans="1:25" s="6" customFormat="1" ht="276">
      <c r="A285" s="6" t="s">
        <v>39</v>
      </c>
      <c r="B285" s="7" t="s">
        <v>1449</v>
      </c>
      <c r="C285" s="7" t="s">
        <v>330</v>
      </c>
      <c r="D285" s="6" t="s">
        <v>1569</v>
      </c>
      <c r="E285" s="6" t="s">
        <v>1570</v>
      </c>
      <c r="F285" s="6" t="s">
        <v>40</v>
      </c>
      <c r="G285" s="6" t="s">
        <v>55</v>
      </c>
      <c r="H285" s="6" t="s">
        <v>158</v>
      </c>
      <c r="I285" s="7" t="s">
        <v>1419</v>
      </c>
      <c r="J285" s="7" t="s">
        <v>1438</v>
      </c>
      <c r="K285" s="6" t="s">
        <v>1199</v>
      </c>
      <c r="L285" s="6" t="s">
        <v>43</v>
      </c>
      <c r="M285" s="8">
        <v>5990</v>
      </c>
      <c r="N285" s="6" t="s">
        <v>1571</v>
      </c>
      <c r="O285" s="24">
        <v>1</v>
      </c>
      <c r="P285" s="8">
        <v>5990</v>
      </c>
      <c r="Q285" s="6" t="s">
        <v>1571</v>
      </c>
      <c r="R285" s="6" t="s">
        <v>291</v>
      </c>
      <c r="S285" s="6" t="s">
        <v>1328</v>
      </c>
      <c r="T285" s="10" t="s">
        <v>1572</v>
      </c>
      <c r="U285" s="10" t="s">
        <v>1573</v>
      </c>
      <c r="V285" s="6" t="s">
        <v>59</v>
      </c>
      <c r="W285" s="8">
        <v>18256236.390000001</v>
      </c>
      <c r="X285" s="6" t="s">
        <v>74</v>
      </c>
    </row>
    <row r="286" spans="1:25" s="6" customFormat="1" ht="262.2">
      <c r="A286" s="6" t="s">
        <v>44</v>
      </c>
      <c r="B286" s="7" t="s">
        <v>1449</v>
      </c>
      <c r="C286" s="7" t="s">
        <v>340</v>
      </c>
      <c r="D286" s="6" t="s">
        <v>1574</v>
      </c>
      <c r="E286" s="6" t="s">
        <v>1575</v>
      </c>
      <c r="F286" s="6" t="s">
        <v>40</v>
      </c>
      <c r="G286" s="6" t="s">
        <v>48</v>
      </c>
      <c r="H286" s="6" t="s">
        <v>49</v>
      </c>
      <c r="I286" s="7" t="s">
        <v>1438</v>
      </c>
      <c r="J286" s="7" t="s">
        <v>1468</v>
      </c>
      <c r="K286" s="6">
        <v>5</v>
      </c>
      <c r="L286" s="6" t="s">
        <v>1576</v>
      </c>
      <c r="M286" s="8">
        <v>25556.97</v>
      </c>
      <c r="N286" s="6" t="s">
        <v>1577</v>
      </c>
      <c r="O286" s="24">
        <v>1</v>
      </c>
      <c r="P286" s="8">
        <v>25556.97</v>
      </c>
      <c r="Q286" s="6" t="s">
        <v>1577</v>
      </c>
      <c r="R286" s="6" t="s">
        <v>1578</v>
      </c>
      <c r="S286" s="6" t="s">
        <v>1579</v>
      </c>
      <c r="T286" s="10" t="s">
        <v>1580</v>
      </c>
      <c r="U286" s="10" t="s">
        <v>1581</v>
      </c>
      <c r="V286" s="6" t="s">
        <v>59</v>
      </c>
      <c r="W286" s="8">
        <v>25556.97</v>
      </c>
      <c r="X286" s="6" t="s">
        <v>58</v>
      </c>
    </row>
    <row r="287" spans="1:25" s="43" customFormat="1" ht="96.6">
      <c r="A287" s="37" t="s">
        <v>39</v>
      </c>
      <c r="B287" s="48">
        <v>16</v>
      </c>
      <c r="C287" s="49" t="s">
        <v>348</v>
      </c>
      <c r="D287" s="37" t="s">
        <v>3611</v>
      </c>
      <c r="E287" s="37" t="s">
        <v>3612</v>
      </c>
      <c r="F287" s="37" t="s">
        <v>2880</v>
      </c>
      <c r="G287" s="37" t="s">
        <v>55</v>
      </c>
      <c r="H287" s="37" t="s">
        <v>3613</v>
      </c>
      <c r="I287" s="38" t="s">
        <v>1438</v>
      </c>
      <c r="J287" s="38" t="s">
        <v>1279</v>
      </c>
      <c r="K287" s="37">
        <v>1</v>
      </c>
      <c r="L287" s="37" t="s">
        <v>2906</v>
      </c>
      <c r="M287" s="33">
        <v>1245</v>
      </c>
      <c r="N287" s="34" t="s">
        <v>3614</v>
      </c>
      <c r="O287" s="40">
        <v>1</v>
      </c>
      <c r="P287" s="33">
        <v>1245</v>
      </c>
      <c r="Q287" s="34" t="s">
        <v>3614</v>
      </c>
      <c r="R287" s="37" t="s">
        <v>3615</v>
      </c>
      <c r="S287" s="48" t="s">
        <v>461</v>
      </c>
      <c r="T287" s="41" t="s">
        <v>3616</v>
      </c>
      <c r="U287" s="41" t="s">
        <v>3617</v>
      </c>
      <c r="V287" s="37" t="s">
        <v>59</v>
      </c>
      <c r="W287" s="39">
        <v>15232.5</v>
      </c>
      <c r="X287" s="37" t="s">
        <v>74</v>
      </c>
      <c r="Y287" s="37"/>
    </row>
    <row r="288" spans="1:25" s="6" customFormat="1" ht="262.2">
      <c r="A288" s="6" t="s">
        <v>39</v>
      </c>
      <c r="B288" s="7" t="s">
        <v>1449</v>
      </c>
      <c r="C288" s="7" t="s">
        <v>358</v>
      </c>
      <c r="D288" s="6" t="s">
        <v>1582</v>
      </c>
      <c r="E288" s="6" t="s">
        <v>1583</v>
      </c>
      <c r="F288" s="6" t="s">
        <v>40</v>
      </c>
      <c r="G288" s="6" t="s">
        <v>55</v>
      </c>
      <c r="H288" s="6" t="s">
        <v>859</v>
      </c>
      <c r="I288" s="7" t="s">
        <v>1438</v>
      </c>
      <c r="J288" s="7" t="s">
        <v>1438</v>
      </c>
      <c r="K288" s="6" t="s">
        <v>1199</v>
      </c>
      <c r="L288" s="8" t="s">
        <v>43</v>
      </c>
      <c r="M288" s="8">
        <v>6740</v>
      </c>
      <c r="N288" s="6" t="s">
        <v>1584</v>
      </c>
      <c r="O288" s="24">
        <v>1</v>
      </c>
      <c r="P288" s="8">
        <v>6740</v>
      </c>
      <c r="Q288" s="6" t="s">
        <v>1584</v>
      </c>
      <c r="R288" s="6" t="s">
        <v>291</v>
      </c>
      <c r="S288" s="6" t="s">
        <v>1328</v>
      </c>
      <c r="T288" s="10" t="s">
        <v>1585</v>
      </c>
      <c r="U288" s="10" t="s">
        <v>1586</v>
      </c>
      <c r="V288" s="6" t="s">
        <v>59</v>
      </c>
      <c r="W288" s="8">
        <v>9440406.2400000002</v>
      </c>
      <c r="X288" s="6" t="s">
        <v>74</v>
      </c>
    </row>
    <row r="289" spans="1:25" s="6" customFormat="1" ht="289.8">
      <c r="A289" s="6" t="s">
        <v>39</v>
      </c>
      <c r="B289" s="6">
        <v>16</v>
      </c>
      <c r="C289" s="7" t="s">
        <v>494</v>
      </c>
      <c r="D289" s="6" t="s">
        <v>1587</v>
      </c>
      <c r="E289" s="6" t="s">
        <v>1588</v>
      </c>
      <c r="F289" s="6" t="s">
        <v>1568</v>
      </c>
      <c r="G289" s="6" t="s">
        <v>55</v>
      </c>
      <c r="H289" s="6" t="s">
        <v>158</v>
      </c>
      <c r="I289" s="7" t="s">
        <v>1438</v>
      </c>
      <c r="J289" s="7" t="s">
        <v>1438</v>
      </c>
      <c r="K289" s="6" t="s">
        <v>1562</v>
      </c>
      <c r="L289" s="6" t="s">
        <v>1589</v>
      </c>
      <c r="M289" s="8">
        <v>790</v>
      </c>
      <c r="N289" s="6" t="s">
        <v>1590</v>
      </c>
      <c r="O289" s="24">
        <v>1</v>
      </c>
      <c r="P289" s="8">
        <v>790</v>
      </c>
      <c r="Q289" s="6" t="s">
        <v>1590</v>
      </c>
      <c r="R289" s="6" t="s">
        <v>1560</v>
      </c>
      <c r="S289" s="6" t="s">
        <v>1564</v>
      </c>
      <c r="T289" s="10" t="s">
        <v>1591</v>
      </c>
      <c r="U289" s="10" t="s">
        <v>1592</v>
      </c>
      <c r="V289" s="6" t="s">
        <v>59</v>
      </c>
      <c r="W289" s="8">
        <v>790</v>
      </c>
      <c r="X289" s="6" t="s">
        <v>74</v>
      </c>
    </row>
    <row r="290" spans="1:25" s="6" customFormat="1" ht="289.8">
      <c r="A290" s="6" t="s">
        <v>39</v>
      </c>
      <c r="B290" s="6">
        <v>16</v>
      </c>
      <c r="C290" s="7" t="s">
        <v>505</v>
      </c>
      <c r="D290" s="6" t="s">
        <v>1593</v>
      </c>
      <c r="E290" s="6" t="s">
        <v>1594</v>
      </c>
      <c r="F290" s="6" t="s">
        <v>1568</v>
      </c>
      <c r="G290" s="6" t="s">
        <v>55</v>
      </c>
      <c r="H290" s="6" t="s">
        <v>158</v>
      </c>
      <c r="I290" s="7" t="s">
        <v>1438</v>
      </c>
      <c r="J290" s="7" t="s">
        <v>1438</v>
      </c>
      <c r="K290" s="6" t="s">
        <v>1562</v>
      </c>
      <c r="L290" s="6" t="s">
        <v>1589</v>
      </c>
      <c r="M290" s="8">
        <v>805.03</v>
      </c>
      <c r="N290" s="6" t="s">
        <v>1596</v>
      </c>
      <c r="O290" s="24">
        <v>1</v>
      </c>
      <c r="P290" s="8">
        <v>805.03</v>
      </c>
      <c r="Q290" s="6" t="s">
        <v>1596</v>
      </c>
      <c r="R290" s="6" t="s">
        <v>1560</v>
      </c>
      <c r="S290" s="6" t="s">
        <v>1564</v>
      </c>
      <c r="T290" s="10" t="s">
        <v>1591</v>
      </c>
      <c r="U290" s="10" t="s">
        <v>1597</v>
      </c>
      <c r="V290" s="6" t="s">
        <v>59</v>
      </c>
      <c r="W290" s="8">
        <v>805.03</v>
      </c>
      <c r="X290" s="6" t="s">
        <v>74</v>
      </c>
    </row>
    <row r="291" spans="1:25" s="6" customFormat="1" ht="262.2">
      <c r="A291" s="6" t="s">
        <v>39</v>
      </c>
      <c r="B291" s="7" t="s">
        <v>1449</v>
      </c>
      <c r="C291" s="7" t="s">
        <v>514</v>
      </c>
      <c r="D291" s="6" t="s">
        <v>1598</v>
      </c>
      <c r="E291" s="6" t="s">
        <v>1599</v>
      </c>
      <c r="F291" s="6" t="s">
        <v>40</v>
      </c>
      <c r="G291" s="6" t="s">
        <v>55</v>
      </c>
      <c r="H291" s="6" t="s">
        <v>1600</v>
      </c>
      <c r="I291" s="7" t="s">
        <v>1438</v>
      </c>
      <c r="J291" s="7" t="s">
        <v>1438</v>
      </c>
      <c r="K291" s="6" t="s">
        <v>1199</v>
      </c>
      <c r="L291" s="6" t="s">
        <v>43</v>
      </c>
      <c r="M291" s="8">
        <v>6035</v>
      </c>
      <c r="N291" s="6" t="s">
        <v>1601</v>
      </c>
      <c r="O291" s="24">
        <v>1</v>
      </c>
      <c r="P291" s="8">
        <v>6035</v>
      </c>
      <c r="Q291" s="6" t="s">
        <v>1601</v>
      </c>
      <c r="R291" s="6" t="s">
        <v>291</v>
      </c>
      <c r="S291" s="6" t="s">
        <v>1328</v>
      </c>
      <c r="T291" s="10" t="s">
        <v>1602</v>
      </c>
      <c r="U291" s="10" t="s">
        <v>1603</v>
      </c>
      <c r="V291" s="6" t="s">
        <v>59</v>
      </c>
      <c r="W291" s="8">
        <v>9894000</v>
      </c>
      <c r="X291" s="6" t="s">
        <v>74</v>
      </c>
    </row>
    <row r="292" spans="1:25" s="6" customFormat="1" ht="289.8">
      <c r="A292" s="6" t="s">
        <v>39</v>
      </c>
      <c r="B292" s="6">
        <v>16</v>
      </c>
      <c r="C292" s="7" t="s">
        <v>522</v>
      </c>
      <c r="D292" s="6" t="s">
        <v>1604</v>
      </c>
      <c r="E292" s="6" t="s">
        <v>1605</v>
      </c>
      <c r="F292" s="6" t="s">
        <v>1568</v>
      </c>
      <c r="G292" s="6" t="s">
        <v>55</v>
      </c>
      <c r="H292" s="6" t="s">
        <v>158</v>
      </c>
      <c r="I292" s="7" t="s">
        <v>1438</v>
      </c>
      <c r="J292" s="7" t="s">
        <v>1438</v>
      </c>
      <c r="K292" s="6" t="s">
        <v>1562</v>
      </c>
      <c r="L292" s="6" t="s">
        <v>1589</v>
      </c>
      <c r="M292" s="8">
        <v>380</v>
      </c>
      <c r="N292" s="6" t="s">
        <v>1606</v>
      </c>
      <c r="O292" s="24">
        <v>1</v>
      </c>
      <c r="P292" s="8">
        <v>380</v>
      </c>
      <c r="Q292" s="6" t="s">
        <v>1606</v>
      </c>
      <c r="R292" s="6" t="s">
        <v>1560</v>
      </c>
      <c r="S292" s="6" t="s">
        <v>1564</v>
      </c>
      <c r="T292" s="10" t="s">
        <v>1591</v>
      </c>
      <c r="U292" s="10" t="s">
        <v>1607</v>
      </c>
      <c r="V292" s="6" t="s">
        <v>59</v>
      </c>
      <c r="W292" s="8">
        <v>380</v>
      </c>
      <c r="X292" s="6" t="s">
        <v>74</v>
      </c>
    </row>
    <row r="293" spans="1:25" s="6" customFormat="1" ht="409.6">
      <c r="A293" s="6" t="s">
        <v>39</v>
      </c>
      <c r="B293" s="6">
        <v>16</v>
      </c>
      <c r="C293" s="7" t="s">
        <v>528</v>
      </c>
      <c r="D293" s="6" t="s">
        <v>1608</v>
      </c>
      <c r="E293" s="6" t="s">
        <v>1609</v>
      </c>
      <c r="F293" s="6" t="s">
        <v>1278</v>
      </c>
      <c r="G293" s="6" t="s">
        <v>55</v>
      </c>
      <c r="H293" s="6" t="s">
        <v>1610</v>
      </c>
      <c r="I293" s="7" t="s">
        <v>1279</v>
      </c>
      <c r="J293" s="7" t="s">
        <v>1279</v>
      </c>
      <c r="K293" s="6" t="s">
        <v>1611</v>
      </c>
      <c r="L293" s="6" t="s">
        <v>43</v>
      </c>
      <c r="M293" s="8">
        <v>10440</v>
      </c>
      <c r="N293" s="6" t="s">
        <v>1612</v>
      </c>
      <c r="O293" s="24">
        <v>1</v>
      </c>
      <c r="P293" s="8">
        <v>10440</v>
      </c>
      <c r="Q293" s="6" t="s">
        <v>1612</v>
      </c>
      <c r="R293" s="6" t="s">
        <v>1613</v>
      </c>
      <c r="S293" s="6" t="s">
        <v>1614</v>
      </c>
      <c r="T293" s="10" t="s">
        <v>1615</v>
      </c>
      <c r="U293" s="10" t="s">
        <v>1616</v>
      </c>
      <c r="V293" s="6" t="s">
        <v>59</v>
      </c>
      <c r="W293" s="8">
        <v>10440</v>
      </c>
      <c r="X293" s="6" t="s">
        <v>74</v>
      </c>
      <c r="Y293" s="10" t="s">
        <v>1617</v>
      </c>
    </row>
    <row r="294" spans="1:25" s="6" customFormat="1" ht="331.2">
      <c r="A294" s="6" t="s">
        <v>39</v>
      </c>
      <c r="B294" s="7" t="s">
        <v>1449</v>
      </c>
      <c r="C294" s="7" t="s">
        <v>536</v>
      </c>
      <c r="D294" s="6" t="s">
        <v>1618</v>
      </c>
      <c r="E294" s="6" t="s">
        <v>1619</v>
      </c>
      <c r="F294" s="6" t="s">
        <v>40</v>
      </c>
      <c r="G294" s="6" t="s">
        <v>1465</v>
      </c>
      <c r="H294" s="6" t="s">
        <v>1466</v>
      </c>
      <c r="I294" s="7" t="s">
        <v>1279</v>
      </c>
      <c r="J294" s="7" t="s">
        <v>1398</v>
      </c>
      <c r="K294" s="6" t="s">
        <v>1171</v>
      </c>
      <c r="L294" s="6" t="s">
        <v>43</v>
      </c>
      <c r="M294" s="8">
        <v>3200</v>
      </c>
      <c r="N294" s="6" t="s">
        <v>1621</v>
      </c>
      <c r="O294" s="24">
        <v>1</v>
      </c>
      <c r="P294" s="8">
        <v>3200</v>
      </c>
      <c r="Q294" s="6" t="s">
        <v>1621</v>
      </c>
      <c r="R294" s="6" t="s">
        <v>1620</v>
      </c>
      <c r="S294" s="6" t="s">
        <v>1622</v>
      </c>
      <c r="T294" s="10" t="s">
        <v>1623</v>
      </c>
      <c r="U294" s="10" t="s">
        <v>1624</v>
      </c>
      <c r="V294" s="6" t="s">
        <v>59</v>
      </c>
      <c r="W294" s="8">
        <v>150000000</v>
      </c>
      <c r="X294" s="6" t="s">
        <v>74</v>
      </c>
    </row>
    <row r="295" spans="1:25" s="43" customFormat="1" ht="317.39999999999998">
      <c r="A295" s="37" t="s">
        <v>39</v>
      </c>
      <c r="B295" s="37">
        <v>16</v>
      </c>
      <c r="C295" s="38" t="s">
        <v>544</v>
      </c>
      <c r="D295" s="37" t="s">
        <v>3618</v>
      </c>
      <c r="E295" s="37" t="s">
        <v>3619</v>
      </c>
      <c r="F295" s="37" t="s">
        <v>2880</v>
      </c>
      <c r="G295" s="37" t="s">
        <v>55</v>
      </c>
      <c r="H295" s="37" t="s">
        <v>158</v>
      </c>
      <c r="I295" s="38" t="s">
        <v>1595</v>
      </c>
      <c r="J295" s="38" t="s">
        <v>1452</v>
      </c>
      <c r="K295" s="37">
        <v>4</v>
      </c>
      <c r="L295" s="37" t="s">
        <v>2906</v>
      </c>
      <c r="M295" s="39">
        <v>21778.79</v>
      </c>
      <c r="N295" s="37" t="s">
        <v>3620</v>
      </c>
      <c r="O295" s="40">
        <v>1</v>
      </c>
      <c r="P295" s="39">
        <v>21778.79</v>
      </c>
      <c r="Q295" s="37" t="s">
        <v>3620</v>
      </c>
      <c r="R295" s="37" t="s">
        <v>3621</v>
      </c>
      <c r="S295" s="37" t="s">
        <v>3622</v>
      </c>
      <c r="T295" s="41" t="s">
        <v>3623</v>
      </c>
      <c r="U295" s="41" t="s">
        <v>3624</v>
      </c>
      <c r="V295" s="37" t="s">
        <v>59</v>
      </c>
      <c r="W295" s="39">
        <v>757150.22</v>
      </c>
      <c r="X295" s="37" t="s">
        <v>58</v>
      </c>
      <c r="Y295" s="37"/>
    </row>
    <row r="296" spans="1:25" s="6" customFormat="1" ht="303.60000000000002">
      <c r="A296" s="6" t="s">
        <v>39</v>
      </c>
      <c r="B296" s="6">
        <v>16</v>
      </c>
      <c r="C296" s="7" t="s">
        <v>842</v>
      </c>
      <c r="D296" s="6" t="s">
        <v>1625</v>
      </c>
      <c r="E296" s="6" t="s">
        <v>1626</v>
      </c>
      <c r="F296" s="6" t="s">
        <v>1278</v>
      </c>
      <c r="G296" s="6" t="s">
        <v>55</v>
      </c>
      <c r="H296" s="6" t="s">
        <v>158</v>
      </c>
      <c r="I296" s="7" t="s">
        <v>1398</v>
      </c>
      <c r="J296" s="7" t="s">
        <v>1627</v>
      </c>
      <c r="K296" s="6">
        <v>37</v>
      </c>
      <c r="L296" s="6" t="s">
        <v>43</v>
      </c>
      <c r="M296" s="8">
        <v>65000</v>
      </c>
      <c r="N296" s="6" t="s">
        <v>1628</v>
      </c>
      <c r="O296" s="24">
        <v>1</v>
      </c>
      <c r="P296" s="8">
        <v>65000</v>
      </c>
      <c r="Q296" s="6" t="s">
        <v>1628</v>
      </c>
      <c r="R296" s="6" t="s">
        <v>1509</v>
      </c>
      <c r="S296" s="6" t="s">
        <v>1629</v>
      </c>
      <c r="T296" s="10" t="s">
        <v>1630</v>
      </c>
      <c r="U296" s="10" t="s">
        <v>1631</v>
      </c>
      <c r="V296" s="6" t="s">
        <v>59</v>
      </c>
      <c r="W296" s="8">
        <v>65000</v>
      </c>
      <c r="X296" s="6" t="s">
        <v>1632</v>
      </c>
      <c r="Y296" s="6" t="s">
        <v>1633</v>
      </c>
    </row>
    <row r="297" spans="1:25" s="6" customFormat="1" ht="289.8">
      <c r="A297" s="6" t="s">
        <v>39</v>
      </c>
      <c r="B297" s="6">
        <v>16</v>
      </c>
      <c r="C297" s="7" t="s">
        <v>1283</v>
      </c>
      <c r="D297" s="6" t="s">
        <v>1634</v>
      </c>
      <c r="E297" s="7" t="s">
        <v>1635</v>
      </c>
      <c r="F297" s="7" t="s">
        <v>1568</v>
      </c>
      <c r="G297" s="6" t="s">
        <v>55</v>
      </c>
      <c r="H297" s="6" t="s">
        <v>1600</v>
      </c>
      <c r="I297" s="7" t="s">
        <v>1595</v>
      </c>
      <c r="J297" s="7" t="s">
        <v>1595</v>
      </c>
      <c r="K297" s="6" t="s">
        <v>1171</v>
      </c>
      <c r="L297" s="6" t="s">
        <v>1589</v>
      </c>
      <c r="M297" s="8">
        <v>1150</v>
      </c>
      <c r="N297" s="6" t="s">
        <v>1636</v>
      </c>
      <c r="O297" s="24">
        <v>1</v>
      </c>
      <c r="P297" s="8">
        <v>1150</v>
      </c>
      <c r="Q297" s="6" t="s">
        <v>1636</v>
      </c>
      <c r="R297" s="6" t="s">
        <v>1560</v>
      </c>
      <c r="S297" s="6" t="s">
        <v>1637</v>
      </c>
      <c r="T297" s="10" t="s">
        <v>1638</v>
      </c>
      <c r="U297" s="10" t="s">
        <v>1639</v>
      </c>
      <c r="V297" s="6" t="s">
        <v>622</v>
      </c>
      <c r="W297" s="8">
        <v>1150</v>
      </c>
      <c r="X297" s="6" t="s">
        <v>74</v>
      </c>
    </row>
    <row r="298" spans="1:25" s="6" customFormat="1" ht="289.8">
      <c r="A298" s="6" t="s">
        <v>39</v>
      </c>
      <c r="B298" s="6">
        <v>16</v>
      </c>
      <c r="C298" s="7" t="s">
        <v>555</v>
      </c>
      <c r="D298" s="6" t="s">
        <v>1640</v>
      </c>
      <c r="E298" s="7" t="s">
        <v>1641</v>
      </c>
      <c r="F298" s="7" t="s">
        <v>1568</v>
      </c>
      <c r="G298" s="6" t="s">
        <v>55</v>
      </c>
      <c r="H298" s="6" t="s">
        <v>158</v>
      </c>
      <c r="I298" s="7" t="s">
        <v>1468</v>
      </c>
      <c r="J298" s="7" t="s">
        <v>1468</v>
      </c>
      <c r="K298" s="6" t="s">
        <v>1562</v>
      </c>
      <c r="L298" s="6" t="s">
        <v>1589</v>
      </c>
      <c r="M298" s="8">
        <v>790</v>
      </c>
      <c r="N298" s="6" t="s">
        <v>1590</v>
      </c>
      <c r="O298" s="24">
        <v>1</v>
      </c>
      <c r="P298" s="8">
        <v>790</v>
      </c>
      <c r="Q298" s="6" t="s">
        <v>1590</v>
      </c>
      <c r="R298" s="6" t="s">
        <v>1560</v>
      </c>
      <c r="S298" s="6" t="s">
        <v>1564</v>
      </c>
      <c r="T298" s="10" t="s">
        <v>1591</v>
      </c>
      <c r="U298" s="10" t="s">
        <v>1642</v>
      </c>
      <c r="V298" s="6" t="s">
        <v>59</v>
      </c>
      <c r="W298" s="8">
        <v>790</v>
      </c>
      <c r="X298" s="6" t="s">
        <v>74</v>
      </c>
    </row>
    <row r="299" spans="1:25" s="6" customFormat="1" ht="289.8">
      <c r="A299" s="6" t="s">
        <v>39</v>
      </c>
      <c r="B299" s="7" t="s">
        <v>1449</v>
      </c>
      <c r="C299" s="7" t="s">
        <v>564</v>
      </c>
      <c r="D299" s="6" t="s">
        <v>1643</v>
      </c>
      <c r="E299" s="6" t="s">
        <v>1644</v>
      </c>
      <c r="F299" s="6" t="s">
        <v>40</v>
      </c>
      <c r="G299" s="6" t="s">
        <v>55</v>
      </c>
      <c r="H299" s="6" t="s">
        <v>1645</v>
      </c>
      <c r="I299" s="7" t="s">
        <v>1595</v>
      </c>
      <c r="J299" s="7" t="s">
        <v>1595</v>
      </c>
      <c r="K299" s="6" t="s">
        <v>1199</v>
      </c>
      <c r="L299" s="6" t="s">
        <v>43</v>
      </c>
      <c r="M299" s="8">
        <v>3600</v>
      </c>
      <c r="N299" s="6" t="s">
        <v>1646</v>
      </c>
      <c r="O299" s="24">
        <v>1</v>
      </c>
      <c r="P299" s="8">
        <v>3600</v>
      </c>
      <c r="Q299" s="6" t="s">
        <v>1646</v>
      </c>
      <c r="R299" s="6" t="s">
        <v>1647</v>
      </c>
      <c r="S299" s="6" t="s">
        <v>1648</v>
      </c>
      <c r="T299" s="10" t="s">
        <v>1649</v>
      </c>
      <c r="U299" s="10" t="s">
        <v>1650</v>
      </c>
      <c r="V299" s="6" t="s">
        <v>59</v>
      </c>
      <c r="W299" s="8">
        <v>3600</v>
      </c>
      <c r="X299" s="6" t="s">
        <v>58</v>
      </c>
    </row>
    <row r="300" spans="1:25" s="43" customFormat="1" ht="409.6">
      <c r="A300" s="37" t="s">
        <v>39</v>
      </c>
      <c r="B300" s="48">
        <v>16</v>
      </c>
      <c r="C300" s="49" t="s">
        <v>1304</v>
      </c>
      <c r="D300" s="37" t="s">
        <v>3625</v>
      </c>
      <c r="E300" s="37" t="s">
        <v>3626</v>
      </c>
      <c r="F300" s="37" t="s">
        <v>2880</v>
      </c>
      <c r="G300" s="37" t="s">
        <v>55</v>
      </c>
      <c r="H300" s="37" t="s">
        <v>1685</v>
      </c>
      <c r="I300" s="38" t="s">
        <v>1595</v>
      </c>
      <c r="J300" s="38" t="s">
        <v>2259</v>
      </c>
      <c r="K300" s="37">
        <v>26</v>
      </c>
      <c r="L300" s="37" t="s">
        <v>2906</v>
      </c>
      <c r="M300" s="39">
        <v>346890</v>
      </c>
      <c r="N300" s="37" t="s">
        <v>3627</v>
      </c>
      <c r="O300" s="51">
        <v>1</v>
      </c>
      <c r="P300" s="33">
        <v>346890</v>
      </c>
      <c r="Q300" s="34" t="s">
        <v>3627</v>
      </c>
      <c r="R300" s="37" t="s">
        <v>1509</v>
      </c>
      <c r="S300" s="37" t="s">
        <v>3628</v>
      </c>
      <c r="T300" s="41" t="s">
        <v>3629</v>
      </c>
      <c r="U300" s="41" t="s">
        <v>3630</v>
      </c>
      <c r="V300" s="37" t="s">
        <v>59</v>
      </c>
      <c r="W300" s="45" t="s">
        <v>461</v>
      </c>
      <c r="X300" s="37" t="s">
        <v>4094</v>
      </c>
      <c r="Y300" s="37"/>
    </row>
    <row r="301" spans="1:25" s="6" customFormat="1" ht="289.8">
      <c r="A301" s="6" t="s">
        <v>39</v>
      </c>
      <c r="B301" s="6">
        <v>16</v>
      </c>
      <c r="C301" s="7" t="s">
        <v>573</v>
      </c>
      <c r="D301" s="6" t="s">
        <v>1651</v>
      </c>
      <c r="E301" s="7" t="s">
        <v>1652</v>
      </c>
      <c r="F301" s="7" t="s">
        <v>1568</v>
      </c>
      <c r="G301" s="6" t="s">
        <v>55</v>
      </c>
      <c r="H301" s="6" t="s">
        <v>158</v>
      </c>
      <c r="I301" s="7" t="s">
        <v>1595</v>
      </c>
      <c r="J301" s="7" t="s">
        <v>1595</v>
      </c>
      <c r="K301" s="6" t="s">
        <v>1562</v>
      </c>
      <c r="L301" s="6" t="s">
        <v>1589</v>
      </c>
      <c r="M301" s="8">
        <v>3300</v>
      </c>
      <c r="N301" s="6" t="s">
        <v>1653</v>
      </c>
      <c r="O301" s="24">
        <v>1</v>
      </c>
      <c r="P301" s="8">
        <v>3300</v>
      </c>
      <c r="Q301" s="6" t="s">
        <v>1654</v>
      </c>
      <c r="R301" s="6" t="s">
        <v>1560</v>
      </c>
      <c r="S301" s="6" t="s">
        <v>1564</v>
      </c>
      <c r="T301" s="10" t="s">
        <v>1591</v>
      </c>
      <c r="U301" s="10" t="s">
        <v>1655</v>
      </c>
      <c r="V301" s="6" t="s">
        <v>59</v>
      </c>
      <c r="W301" s="8">
        <v>3300</v>
      </c>
      <c r="X301" s="6" t="s">
        <v>74</v>
      </c>
    </row>
    <row r="302" spans="1:25" s="6" customFormat="1" ht="207">
      <c r="A302" s="6" t="s">
        <v>39</v>
      </c>
      <c r="B302" s="6">
        <v>16</v>
      </c>
      <c r="C302" s="7" t="s">
        <v>1318</v>
      </c>
      <c r="D302" s="6" t="s">
        <v>1656</v>
      </c>
      <c r="E302" s="7" t="s">
        <v>1657</v>
      </c>
      <c r="F302" s="7" t="s">
        <v>1568</v>
      </c>
      <c r="G302" s="6" t="s">
        <v>55</v>
      </c>
      <c r="H302" s="6" t="s">
        <v>117</v>
      </c>
      <c r="I302" s="7" t="s">
        <v>1595</v>
      </c>
      <c r="J302" s="7" t="s">
        <v>1468</v>
      </c>
      <c r="K302" s="6">
        <v>1</v>
      </c>
      <c r="L302" s="6" t="s">
        <v>1589</v>
      </c>
      <c r="M302" s="8" t="s">
        <v>1658</v>
      </c>
      <c r="N302" s="6" t="s">
        <v>1659</v>
      </c>
      <c r="O302" s="24">
        <v>1</v>
      </c>
      <c r="P302" s="8" t="s">
        <v>1658</v>
      </c>
      <c r="Q302" s="6" t="s">
        <v>1659</v>
      </c>
      <c r="R302" s="6" t="s">
        <v>1660</v>
      </c>
      <c r="S302" s="6" t="s">
        <v>1661</v>
      </c>
      <c r="T302" s="10" t="s">
        <v>1662</v>
      </c>
      <c r="U302" s="10" t="s">
        <v>1663</v>
      </c>
      <c r="V302" s="6" t="s">
        <v>622</v>
      </c>
      <c r="W302" s="8" t="s">
        <v>1658</v>
      </c>
      <c r="X302" s="6" t="s">
        <v>1664</v>
      </c>
    </row>
    <row r="303" spans="1:25" s="43" customFormat="1" ht="409.6">
      <c r="A303" s="37" t="s">
        <v>39</v>
      </c>
      <c r="B303" s="37">
        <v>16</v>
      </c>
      <c r="C303" s="38" t="s">
        <v>582</v>
      </c>
      <c r="D303" s="37" t="s">
        <v>3631</v>
      </c>
      <c r="E303" s="37" t="s">
        <v>3632</v>
      </c>
      <c r="F303" s="37" t="s">
        <v>2880</v>
      </c>
      <c r="G303" s="37" t="s">
        <v>55</v>
      </c>
      <c r="H303" s="37" t="s">
        <v>158</v>
      </c>
      <c r="I303" s="38" t="s">
        <v>1119</v>
      </c>
      <c r="J303" s="38" t="s">
        <v>1713</v>
      </c>
      <c r="K303" s="37">
        <v>13</v>
      </c>
      <c r="L303" s="37" t="s">
        <v>2906</v>
      </c>
      <c r="M303" s="39">
        <v>16586.54</v>
      </c>
      <c r="N303" s="37" t="s">
        <v>3633</v>
      </c>
      <c r="O303" s="40">
        <v>1</v>
      </c>
      <c r="P303" s="39">
        <v>16586.54</v>
      </c>
      <c r="Q303" s="37" t="s">
        <v>3633</v>
      </c>
      <c r="R303" s="37" t="s">
        <v>1509</v>
      </c>
      <c r="S303" s="37" t="s">
        <v>3605</v>
      </c>
      <c r="T303" s="41" t="s">
        <v>3634</v>
      </c>
      <c r="U303" s="41" t="s">
        <v>3635</v>
      </c>
      <c r="V303" s="37" t="s">
        <v>59</v>
      </c>
      <c r="W303" s="39">
        <v>457339.21</v>
      </c>
      <c r="X303" s="37" t="s">
        <v>74</v>
      </c>
      <c r="Y303" s="37" t="s">
        <v>3636</v>
      </c>
    </row>
    <row r="304" spans="1:25" s="6" customFormat="1" ht="289.8">
      <c r="A304" s="6" t="s">
        <v>39</v>
      </c>
      <c r="B304" s="6">
        <v>16</v>
      </c>
      <c r="C304" s="7" t="s">
        <v>592</v>
      </c>
      <c r="D304" s="6" t="s">
        <v>1665</v>
      </c>
      <c r="E304" s="7" t="s">
        <v>1666</v>
      </c>
      <c r="F304" s="7" t="s">
        <v>1568</v>
      </c>
      <c r="G304" s="6" t="s">
        <v>55</v>
      </c>
      <c r="H304" s="6" t="s">
        <v>158</v>
      </c>
      <c r="I304" s="7" t="s">
        <v>1468</v>
      </c>
      <c r="J304" s="7" t="s">
        <v>1468</v>
      </c>
      <c r="K304" s="6" t="s">
        <v>1562</v>
      </c>
      <c r="L304" s="6" t="s">
        <v>1589</v>
      </c>
      <c r="M304" s="8">
        <v>785</v>
      </c>
      <c r="N304" s="6" t="s">
        <v>1667</v>
      </c>
      <c r="O304" s="24">
        <v>1</v>
      </c>
      <c r="P304" s="8">
        <v>785</v>
      </c>
      <c r="Q304" s="6" t="s">
        <v>1667</v>
      </c>
      <c r="R304" s="6" t="s">
        <v>1560</v>
      </c>
      <c r="S304" s="6" t="s">
        <v>1564</v>
      </c>
      <c r="T304" s="10" t="s">
        <v>1591</v>
      </c>
      <c r="U304" s="10" t="s">
        <v>1668</v>
      </c>
      <c r="V304" s="6" t="s">
        <v>59</v>
      </c>
      <c r="W304" s="8">
        <v>785</v>
      </c>
      <c r="X304" s="6" t="s">
        <v>74</v>
      </c>
    </row>
    <row r="305" spans="1:25" s="43" customFormat="1" ht="409.6">
      <c r="A305" s="37" t="s">
        <v>39</v>
      </c>
      <c r="B305" s="37">
        <v>16</v>
      </c>
      <c r="C305" s="38" t="s">
        <v>597</v>
      </c>
      <c r="D305" s="37" t="s">
        <v>3637</v>
      </c>
      <c r="E305" s="37" t="s">
        <v>3638</v>
      </c>
      <c r="F305" s="37" t="s">
        <v>2880</v>
      </c>
      <c r="G305" s="37" t="s">
        <v>55</v>
      </c>
      <c r="H305" s="37" t="s">
        <v>158</v>
      </c>
      <c r="I305" s="38" t="s">
        <v>1468</v>
      </c>
      <c r="J305" s="38" t="s">
        <v>1792</v>
      </c>
      <c r="K305" s="37">
        <v>12</v>
      </c>
      <c r="L305" s="37" t="s">
        <v>2906</v>
      </c>
      <c r="M305" s="39">
        <v>17900</v>
      </c>
      <c r="N305" s="37" t="s">
        <v>3639</v>
      </c>
      <c r="O305" s="40">
        <v>1</v>
      </c>
      <c r="P305" s="39">
        <v>17900</v>
      </c>
      <c r="Q305" s="37" t="s">
        <v>3639</v>
      </c>
      <c r="R305" s="37" t="s">
        <v>3640</v>
      </c>
      <c r="S305" s="37" t="s">
        <v>3641</v>
      </c>
      <c r="T305" s="41" t="s">
        <v>3642</v>
      </c>
      <c r="U305" s="41" t="s">
        <v>3643</v>
      </c>
      <c r="V305" s="37" t="s">
        <v>59</v>
      </c>
      <c r="W305" s="39">
        <v>11286103.99</v>
      </c>
      <c r="X305" s="37" t="s">
        <v>74</v>
      </c>
      <c r="Y305" s="37"/>
    </row>
    <row r="306" spans="1:25" s="6" customFormat="1" ht="289.8">
      <c r="A306" s="6" t="s">
        <v>39</v>
      </c>
      <c r="B306" s="6">
        <v>16</v>
      </c>
      <c r="C306" s="7" t="s">
        <v>604</v>
      </c>
      <c r="D306" s="6" t="s">
        <v>1669</v>
      </c>
      <c r="E306" s="7" t="s">
        <v>1670</v>
      </c>
      <c r="F306" s="7" t="s">
        <v>1568</v>
      </c>
      <c r="G306" s="6" t="s">
        <v>55</v>
      </c>
      <c r="H306" s="6" t="s">
        <v>158</v>
      </c>
      <c r="I306" s="7" t="s">
        <v>1468</v>
      </c>
      <c r="J306" s="7" t="s">
        <v>1468</v>
      </c>
      <c r="K306" s="6" t="s">
        <v>1671</v>
      </c>
      <c r="L306" s="6" t="s">
        <v>1589</v>
      </c>
      <c r="M306" s="8">
        <v>560</v>
      </c>
      <c r="N306" s="6" t="s">
        <v>1672</v>
      </c>
      <c r="O306" s="24">
        <v>1</v>
      </c>
      <c r="P306" s="8">
        <v>560</v>
      </c>
      <c r="Q306" s="6" t="s">
        <v>1672</v>
      </c>
      <c r="R306" s="6" t="s">
        <v>1560</v>
      </c>
      <c r="S306" s="6" t="s">
        <v>1564</v>
      </c>
      <c r="T306" s="10" t="s">
        <v>1673</v>
      </c>
      <c r="U306" s="10" t="s">
        <v>1674</v>
      </c>
      <c r="V306" s="6" t="s">
        <v>59</v>
      </c>
      <c r="W306" s="8">
        <v>560</v>
      </c>
      <c r="X306" s="6" t="s">
        <v>74</v>
      </c>
    </row>
    <row r="307" spans="1:25" s="6" customFormat="1" ht="409.6">
      <c r="A307" s="6" t="s">
        <v>39</v>
      </c>
      <c r="B307" s="6">
        <v>16</v>
      </c>
      <c r="C307" s="7" t="s">
        <v>610</v>
      </c>
      <c r="D307" s="6" t="s">
        <v>1675</v>
      </c>
      <c r="E307" s="6" t="s">
        <v>1676</v>
      </c>
      <c r="F307" s="6" t="s">
        <v>1278</v>
      </c>
      <c r="G307" s="6" t="s">
        <v>55</v>
      </c>
      <c r="H307" s="6" t="s">
        <v>158</v>
      </c>
      <c r="I307" s="7" t="s">
        <v>1468</v>
      </c>
      <c r="J307" s="7" t="s">
        <v>1677</v>
      </c>
      <c r="K307" s="6">
        <v>40</v>
      </c>
      <c r="L307" s="6" t="s">
        <v>43</v>
      </c>
      <c r="M307" s="8">
        <v>262497.68</v>
      </c>
      <c r="N307" s="6" t="s">
        <v>1678</v>
      </c>
      <c r="O307" s="24">
        <v>1</v>
      </c>
      <c r="P307" s="8">
        <v>262497.68</v>
      </c>
      <c r="Q307" s="6" t="s">
        <v>1678</v>
      </c>
      <c r="R307" s="6" t="s">
        <v>1509</v>
      </c>
      <c r="S307" s="6" t="s">
        <v>1679</v>
      </c>
      <c r="T307" s="10" t="s">
        <v>1680</v>
      </c>
      <c r="U307" s="10" t="s">
        <v>1681</v>
      </c>
      <c r="V307" s="6" t="s">
        <v>59</v>
      </c>
      <c r="W307" s="8">
        <v>292497.68</v>
      </c>
      <c r="X307" s="6" t="s">
        <v>1682</v>
      </c>
      <c r="Y307" s="6" t="s">
        <v>1633</v>
      </c>
    </row>
    <row r="308" spans="1:25" s="6" customFormat="1" ht="82.8">
      <c r="A308" s="6" t="s">
        <v>39</v>
      </c>
      <c r="B308" s="7" t="s">
        <v>1449</v>
      </c>
      <c r="C308" s="7" t="s">
        <v>623</v>
      </c>
      <c r="D308" s="6" t="s">
        <v>1683</v>
      </c>
      <c r="E308" s="6" t="s">
        <v>1684</v>
      </c>
      <c r="F308" s="6" t="s">
        <v>40</v>
      </c>
      <c r="G308" s="6" t="s">
        <v>55</v>
      </c>
      <c r="H308" s="6" t="s">
        <v>1685</v>
      </c>
      <c r="I308" s="7" t="s">
        <v>1468</v>
      </c>
      <c r="J308" s="7" t="s">
        <v>1468</v>
      </c>
      <c r="K308" s="6" t="s">
        <v>1199</v>
      </c>
      <c r="L308" s="6" t="s">
        <v>43</v>
      </c>
      <c r="M308" s="8">
        <v>2900</v>
      </c>
      <c r="N308" s="6" t="s">
        <v>1686</v>
      </c>
      <c r="O308" s="24">
        <v>1</v>
      </c>
      <c r="P308" s="8">
        <v>2900</v>
      </c>
      <c r="Q308" s="6" t="s">
        <v>1686</v>
      </c>
      <c r="R308" s="6" t="s">
        <v>715</v>
      </c>
      <c r="S308" s="6" t="s">
        <v>1919</v>
      </c>
      <c r="T308" s="10" t="s">
        <v>2073</v>
      </c>
      <c r="U308" s="10" t="s">
        <v>1687</v>
      </c>
      <c r="V308" s="6" t="s">
        <v>59</v>
      </c>
      <c r="W308" s="8">
        <v>82820</v>
      </c>
      <c r="X308" s="6" t="s">
        <v>74</v>
      </c>
    </row>
    <row r="309" spans="1:25" s="26" customFormat="1" ht="69">
      <c r="A309" s="26" t="s">
        <v>39</v>
      </c>
      <c r="B309" s="27" t="s">
        <v>1449</v>
      </c>
      <c r="C309" s="27" t="s">
        <v>632</v>
      </c>
      <c r="D309" s="26" t="s">
        <v>3814</v>
      </c>
      <c r="F309" s="26" t="s">
        <v>40</v>
      </c>
      <c r="G309" s="26" t="s">
        <v>55</v>
      </c>
      <c r="H309" s="26" t="s">
        <v>158</v>
      </c>
      <c r="I309" s="27"/>
      <c r="J309" s="27"/>
      <c r="L309" s="26" t="s">
        <v>43</v>
      </c>
      <c r="M309" s="31"/>
      <c r="O309" s="32"/>
      <c r="P309" s="31"/>
      <c r="T309" s="30"/>
      <c r="U309" s="30"/>
      <c r="W309" s="31"/>
      <c r="Y309" s="26" t="s">
        <v>4095</v>
      </c>
    </row>
    <row r="310" spans="1:25" s="43" customFormat="1" ht="151.80000000000001">
      <c r="A310" s="37" t="s">
        <v>39</v>
      </c>
      <c r="B310" s="37">
        <v>16</v>
      </c>
      <c r="C310" s="38" t="s">
        <v>1960</v>
      </c>
      <c r="D310" s="37" t="s">
        <v>3644</v>
      </c>
      <c r="E310" s="37" t="s">
        <v>3645</v>
      </c>
      <c r="F310" s="37" t="s">
        <v>3646</v>
      </c>
      <c r="G310" s="37" t="s">
        <v>55</v>
      </c>
      <c r="H310" s="37" t="s">
        <v>158</v>
      </c>
      <c r="I310" s="38" t="s">
        <v>1468</v>
      </c>
      <c r="J310" s="38" t="s">
        <v>1468</v>
      </c>
      <c r="K310" s="37" t="s">
        <v>1871</v>
      </c>
      <c r="L310" s="37" t="s">
        <v>2906</v>
      </c>
      <c r="M310" s="39">
        <v>640</v>
      </c>
      <c r="N310" s="37" t="s">
        <v>3647</v>
      </c>
      <c r="O310" s="40">
        <v>1</v>
      </c>
      <c r="P310" s="39">
        <v>640</v>
      </c>
      <c r="Q310" s="37" t="s">
        <v>3647</v>
      </c>
      <c r="R310" s="37" t="s">
        <v>3648</v>
      </c>
      <c r="S310" s="37" t="s">
        <v>3649</v>
      </c>
      <c r="T310" s="41" t="s">
        <v>3650</v>
      </c>
      <c r="U310" s="41" t="s">
        <v>3651</v>
      </c>
      <c r="V310" s="37" t="s">
        <v>59</v>
      </c>
      <c r="W310" s="39">
        <v>640</v>
      </c>
      <c r="X310" s="37" t="s">
        <v>74</v>
      </c>
      <c r="Y310" s="37"/>
    </row>
    <row r="311" spans="1:25" s="6" customFormat="1" ht="289.8">
      <c r="A311" s="6" t="s">
        <v>39</v>
      </c>
      <c r="B311" s="6">
        <v>16</v>
      </c>
      <c r="C311" s="7" t="s">
        <v>1688</v>
      </c>
      <c r="D311" s="6" t="s">
        <v>1689</v>
      </c>
      <c r="E311" s="7" t="s">
        <v>1690</v>
      </c>
      <c r="F311" s="7" t="s">
        <v>1568</v>
      </c>
      <c r="G311" s="6" t="s">
        <v>55</v>
      </c>
      <c r="H311" s="6" t="s">
        <v>49</v>
      </c>
      <c r="I311" s="7" t="s">
        <v>1468</v>
      </c>
      <c r="J311" s="7" t="s">
        <v>1529</v>
      </c>
      <c r="K311" s="6">
        <v>7</v>
      </c>
      <c r="L311" s="6" t="s">
        <v>1589</v>
      </c>
      <c r="M311" s="8">
        <v>4840</v>
      </c>
      <c r="N311" s="6" t="s">
        <v>1691</v>
      </c>
      <c r="O311" s="24">
        <v>1</v>
      </c>
      <c r="P311" s="8">
        <v>4840</v>
      </c>
      <c r="Q311" s="6" t="s">
        <v>1691</v>
      </c>
      <c r="R311" s="6" t="s">
        <v>1560</v>
      </c>
      <c r="S311" s="6" t="s">
        <v>1564</v>
      </c>
      <c r="T311" s="10" t="s">
        <v>1693</v>
      </c>
      <c r="U311" s="10" t="s">
        <v>1692</v>
      </c>
      <c r="V311" s="6" t="s">
        <v>59</v>
      </c>
      <c r="W311" s="8">
        <v>42641.05</v>
      </c>
      <c r="X311" s="6" t="s">
        <v>74</v>
      </c>
    </row>
    <row r="312" spans="1:25" s="6" customFormat="1" ht="276">
      <c r="A312" s="6" t="s">
        <v>39</v>
      </c>
      <c r="B312" s="6">
        <v>16</v>
      </c>
      <c r="C312" s="7" t="s">
        <v>1694</v>
      </c>
      <c r="D312" s="6" t="s">
        <v>1695</v>
      </c>
      <c r="E312" s="7" t="s">
        <v>1696</v>
      </c>
      <c r="F312" s="7" t="s">
        <v>1568</v>
      </c>
      <c r="G312" s="6" t="s">
        <v>55</v>
      </c>
      <c r="H312" s="6" t="s">
        <v>158</v>
      </c>
      <c r="I312" s="7" t="s">
        <v>1119</v>
      </c>
      <c r="J312" s="7" t="s">
        <v>1119</v>
      </c>
      <c r="K312" s="6" t="s">
        <v>1697</v>
      </c>
      <c r="L312" s="6" t="s">
        <v>1589</v>
      </c>
      <c r="M312" s="8">
        <v>1205</v>
      </c>
      <c r="N312" s="6" t="s">
        <v>1698</v>
      </c>
      <c r="O312" s="24">
        <v>1</v>
      </c>
      <c r="P312" s="8">
        <v>1205</v>
      </c>
      <c r="Q312" s="6" t="s">
        <v>1698</v>
      </c>
      <c r="R312" s="6" t="s">
        <v>1560</v>
      </c>
      <c r="S312" s="6" t="s">
        <v>1699</v>
      </c>
      <c r="T312" s="10" t="s">
        <v>1700</v>
      </c>
      <c r="U312" s="10" t="s">
        <v>1692</v>
      </c>
      <c r="V312" s="6" t="s">
        <v>59</v>
      </c>
      <c r="W312" s="8">
        <v>13000</v>
      </c>
      <c r="X312" s="6" t="s">
        <v>74</v>
      </c>
    </row>
    <row r="313" spans="1:25" s="6" customFormat="1" ht="276">
      <c r="A313" s="6" t="s">
        <v>39</v>
      </c>
      <c r="B313" s="6">
        <v>16</v>
      </c>
      <c r="C313" s="7" t="s">
        <v>1701</v>
      </c>
      <c r="D313" s="6" t="s">
        <v>1702</v>
      </c>
      <c r="E313" s="7" t="s">
        <v>1703</v>
      </c>
      <c r="F313" s="7" t="s">
        <v>1568</v>
      </c>
      <c r="G313" s="6" t="s">
        <v>55</v>
      </c>
      <c r="H313" s="6" t="s">
        <v>158</v>
      </c>
      <c r="I313" s="7" t="s">
        <v>1119</v>
      </c>
      <c r="J313" s="7" t="s">
        <v>1119</v>
      </c>
      <c r="K313" s="6" t="s">
        <v>1697</v>
      </c>
      <c r="L313" s="6" t="s">
        <v>1589</v>
      </c>
      <c r="M313" s="8">
        <v>875</v>
      </c>
      <c r="N313" s="6" t="s">
        <v>1704</v>
      </c>
      <c r="O313" s="24">
        <v>1</v>
      </c>
      <c r="P313" s="8">
        <v>875</v>
      </c>
      <c r="Q313" s="6" t="s">
        <v>1704</v>
      </c>
      <c r="R313" s="6" t="s">
        <v>1560</v>
      </c>
      <c r="S313" s="6" t="s">
        <v>1699</v>
      </c>
      <c r="T313" s="10" t="s">
        <v>1705</v>
      </c>
      <c r="U313" s="10" t="s">
        <v>1706</v>
      </c>
      <c r="V313" s="6" t="s">
        <v>59</v>
      </c>
      <c r="W313" s="8">
        <v>10957.8</v>
      </c>
      <c r="X313" s="6" t="s">
        <v>74</v>
      </c>
    </row>
    <row r="314" spans="1:25" s="6" customFormat="1" ht="262.2">
      <c r="A314" s="6" t="s">
        <v>39</v>
      </c>
      <c r="B314" s="6">
        <v>16</v>
      </c>
      <c r="C314" s="7" t="s">
        <v>1707</v>
      </c>
      <c r="D314" s="6" t="s">
        <v>1708</v>
      </c>
      <c r="E314" s="6" t="s">
        <v>1520</v>
      </c>
      <c r="F314" s="6" t="s">
        <v>1278</v>
      </c>
      <c r="G314" s="6" t="s">
        <v>55</v>
      </c>
      <c r="H314" s="6" t="s">
        <v>214</v>
      </c>
      <c r="I314" s="7" t="s">
        <v>1119</v>
      </c>
      <c r="J314" s="7" t="s">
        <v>1713</v>
      </c>
      <c r="K314" s="6">
        <v>12</v>
      </c>
      <c r="L314" s="6" t="s">
        <v>43</v>
      </c>
      <c r="M314" s="8">
        <v>29280</v>
      </c>
      <c r="N314" s="6" t="s">
        <v>1714</v>
      </c>
      <c r="O314" s="24">
        <v>1</v>
      </c>
      <c r="P314" s="8">
        <v>29280</v>
      </c>
      <c r="Q314" s="6" t="s">
        <v>1714</v>
      </c>
      <c r="R314" s="6" t="s">
        <v>1522</v>
      </c>
      <c r="S314" s="6" t="s">
        <v>1710</v>
      </c>
      <c r="T314" s="10" t="s">
        <v>1711</v>
      </c>
      <c r="U314" s="10" t="s">
        <v>1712</v>
      </c>
      <c r="V314" s="6" t="s">
        <v>59</v>
      </c>
      <c r="W314" s="8">
        <v>29280</v>
      </c>
      <c r="X314" s="6" t="s">
        <v>74</v>
      </c>
    </row>
    <row r="315" spans="1:25" s="6" customFormat="1" ht="262.2">
      <c r="A315" s="6" t="s">
        <v>39</v>
      </c>
      <c r="B315" s="6">
        <v>16</v>
      </c>
      <c r="C315" s="7" t="s">
        <v>1707</v>
      </c>
      <c r="D315" s="6" t="s">
        <v>1715</v>
      </c>
      <c r="E315" s="6" t="s">
        <v>1520</v>
      </c>
      <c r="F315" s="6" t="s">
        <v>1278</v>
      </c>
      <c r="G315" s="6" t="s">
        <v>55</v>
      </c>
      <c r="H315" s="6" t="s">
        <v>214</v>
      </c>
      <c r="I315" s="7" t="s">
        <v>1716</v>
      </c>
      <c r="J315" s="7" t="s">
        <v>1709</v>
      </c>
      <c r="K315" s="6">
        <v>12</v>
      </c>
      <c r="L315" s="6" t="s">
        <v>43</v>
      </c>
      <c r="M315" s="8">
        <v>29880</v>
      </c>
      <c r="N315" s="6" t="s">
        <v>1717</v>
      </c>
      <c r="O315" s="24">
        <v>1</v>
      </c>
      <c r="P315" s="8">
        <v>29880</v>
      </c>
      <c r="Q315" s="6" t="s">
        <v>1717</v>
      </c>
      <c r="R315" s="6" t="s">
        <v>1522</v>
      </c>
      <c r="S315" s="6" t="s">
        <v>1710</v>
      </c>
      <c r="T315" s="10" t="s">
        <v>1711</v>
      </c>
      <c r="U315" s="10" t="s">
        <v>1712</v>
      </c>
      <c r="V315" s="6" t="s">
        <v>59</v>
      </c>
      <c r="W315" s="8">
        <v>29880</v>
      </c>
      <c r="X315" s="6" t="s">
        <v>74</v>
      </c>
    </row>
    <row r="316" spans="1:25" s="6" customFormat="1" ht="262.2">
      <c r="A316" s="6" t="s">
        <v>39</v>
      </c>
      <c r="B316" s="6">
        <v>16</v>
      </c>
      <c r="C316" s="7" t="s">
        <v>1707</v>
      </c>
      <c r="D316" s="6" t="s">
        <v>1715</v>
      </c>
      <c r="E316" s="6" t="s">
        <v>1718</v>
      </c>
      <c r="F316" s="6" t="s">
        <v>1278</v>
      </c>
      <c r="G316" s="6" t="s">
        <v>55</v>
      </c>
      <c r="H316" s="6" t="s">
        <v>214</v>
      </c>
      <c r="I316" s="7" t="s">
        <v>1716</v>
      </c>
      <c r="J316" s="7" t="s">
        <v>1709</v>
      </c>
      <c r="K316" s="6">
        <v>12</v>
      </c>
      <c r="L316" s="6" t="s">
        <v>43</v>
      </c>
      <c r="M316" s="8">
        <v>12360</v>
      </c>
      <c r="N316" s="6" t="s">
        <v>1719</v>
      </c>
      <c r="O316" s="24">
        <v>1</v>
      </c>
      <c r="P316" s="8">
        <v>12360</v>
      </c>
      <c r="Q316" s="6" t="s">
        <v>1719</v>
      </c>
      <c r="R316" s="6" t="s">
        <v>1522</v>
      </c>
      <c r="S316" s="6" t="s">
        <v>1710</v>
      </c>
      <c r="T316" s="10" t="s">
        <v>1720</v>
      </c>
      <c r="U316" s="10" t="s">
        <v>1721</v>
      </c>
      <c r="V316" s="6" t="s">
        <v>59</v>
      </c>
      <c r="W316" s="8">
        <v>12360</v>
      </c>
      <c r="X316" s="6" t="s">
        <v>74</v>
      </c>
    </row>
    <row r="317" spans="1:25" s="6" customFormat="1" ht="262.2">
      <c r="A317" s="6" t="s">
        <v>39</v>
      </c>
      <c r="B317" s="6">
        <v>16</v>
      </c>
      <c r="C317" s="7" t="s">
        <v>1707</v>
      </c>
      <c r="D317" s="6" t="s">
        <v>1715</v>
      </c>
      <c r="E317" s="6" t="s">
        <v>1722</v>
      </c>
      <c r="F317" s="6" t="s">
        <v>1278</v>
      </c>
      <c r="G317" s="6" t="s">
        <v>55</v>
      </c>
      <c r="H317" s="6" t="s">
        <v>214</v>
      </c>
      <c r="I317" s="7" t="s">
        <v>1723</v>
      </c>
      <c r="J317" s="7" t="s">
        <v>1709</v>
      </c>
      <c r="K317" s="6">
        <v>5</v>
      </c>
      <c r="L317" s="6" t="s">
        <v>43</v>
      </c>
      <c r="M317" s="8">
        <v>18750</v>
      </c>
      <c r="N317" s="6" t="s">
        <v>1724</v>
      </c>
      <c r="O317" s="24">
        <v>1</v>
      </c>
      <c r="P317" s="8">
        <v>18750</v>
      </c>
      <c r="Q317" s="6" t="s">
        <v>1724</v>
      </c>
      <c r="R317" s="6" t="s">
        <v>1522</v>
      </c>
      <c r="S317" s="6" t="s">
        <v>1710</v>
      </c>
      <c r="T317" s="10" t="s">
        <v>1725</v>
      </c>
      <c r="U317" s="10" t="s">
        <v>1726</v>
      </c>
      <c r="V317" s="6" t="s">
        <v>59</v>
      </c>
      <c r="W317" s="8">
        <v>18750</v>
      </c>
      <c r="X317" s="6" t="s">
        <v>74</v>
      </c>
    </row>
    <row r="318" spans="1:25" s="6" customFormat="1" ht="345">
      <c r="A318" s="6" t="s">
        <v>39</v>
      </c>
      <c r="B318" s="6">
        <v>17</v>
      </c>
      <c r="C318" s="7" t="s">
        <v>80</v>
      </c>
      <c r="D318" s="6" t="s">
        <v>1727</v>
      </c>
      <c r="E318" s="6" t="s">
        <v>1728</v>
      </c>
      <c r="F318" s="6" t="s">
        <v>1278</v>
      </c>
      <c r="G318" s="6" t="s">
        <v>55</v>
      </c>
      <c r="H318" s="6" t="s">
        <v>158</v>
      </c>
      <c r="I318" s="7" t="s">
        <v>1729</v>
      </c>
      <c r="J318" s="7" t="s">
        <v>1730</v>
      </c>
      <c r="K318" s="6">
        <v>2</v>
      </c>
      <c r="L318" s="6" t="s">
        <v>43</v>
      </c>
      <c r="M318" s="25">
        <v>14853.36</v>
      </c>
      <c r="N318" s="6" t="s">
        <v>1731</v>
      </c>
      <c r="O318" s="24">
        <v>1</v>
      </c>
      <c r="P318" s="8">
        <v>14853.36</v>
      </c>
      <c r="Q318" s="6" t="s">
        <v>1731</v>
      </c>
      <c r="R318" s="6" t="s">
        <v>1509</v>
      </c>
      <c r="S318" s="6" t="s">
        <v>1732</v>
      </c>
      <c r="T318" s="10" t="s">
        <v>1733</v>
      </c>
      <c r="U318" s="10" t="s">
        <v>1734</v>
      </c>
      <c r="V318" s="6" t="s">
        <v>59</v>
      </c>
      <c r="W318" s="8">
        <v>14853.36</v>
      </c>
      <c r="X318" s="6" t="s">
        <v>58</v>
      </c>
    </row>
    <row r="319" spans="1:25" s="6" customFormat="1" ht="276">
      <c r="A319" s="6" t="s">
        <v>39</v>
      </c>
      <c r="B319" s="6">
        <v>17</v>
      </c>
      <c r="C319" s="7" t="s">
        <v>93</v>
      </c>
      <c r="D319" s="6" t="s">
        <v>1735</v>
      </c>
      <c r="E319" s="7" t="s">
        <v>1736</v>
      </c>
      <c r="F319" s="7" t="s">
        <v>1568</v>
      </c>
      <c r="G319" s="6" t="s">
        <v>55</v>
      </c>
      <c r="H319" s="6" t="s">
        <v>158</v>
      </c>
      <c r="I319" s="7" t="s">
        <v>1729</v>
      </c>
      <c r="J319" s="7" t="s">
        <v>1729</v>
      </c>
      <c r="K319" s="6" t="s">
        <v>1562</v>
      </c>
      <c r="L319" s="6" t="s">
        <v>1589</v>
      </c>
      <c r="M319" s="8">
        <v>560</v>
      </c>
      <c r="N319" s="6" t="s">
        <v>1672</v>
      </c>
      <c r="O319" s="24">
        <v>1</v>
      </c>
      <c r="P319" s="8">
        <v>560</v>
      </c>
      <c r="Q319" s="6" t="s">
        <v>1672</v>
      </c>
      <c r="R319" s="6" t="s">
        <v>1560</v>
      </c>
      <c r="S319" s="6" t="s">
        <v>1699</v>
      </c>
      <c r="T319" s="10" t="s">
        <v>1737</v>
      </c>
      <c r="U319" s="10" t="s">
        <v>1738</v>
      </c>
      <c r="V319" s="6" t="s">
        <v>59</v>
      </c>
      <c r="W319" s="8">
        <v>3000</v>
      </c>
      <c r="X319" s="6" t="s">
        <v>74</v>
      </c>
    </row>
    <row r="320" spans="1:25" s="6" customFormat="1" ht="276">
      <c r="A320" s="6" t="s">
        <v>39</v>
      </c>
      <c r="B320" s="6">
        <v>17</v>
      </c>
      <c r="C320" s="7" t="s">
        <v>104</v>
      </c>
      <c r="D320" s="6" t="s">
        <v>1739</v>
      </c>
      <c r="E320" s="7" t="s">
        <v>1740</v>
      </c>
      <c r="F320" s="7" t="s">
        <v>1568</v>
      </c>
      <c r="G320" s="6" t="s">
        <v>55</v>
      </c>
      <c r="H320" s="6" t="s">
        <v>158</v>
      </c>
      <c r="I320" s="7" t="s">
        <v>1729</v>
      </c>
      <c r="J320" s="7" t="s">
        <v>1729</v>
      </c>
      <c r="K320" s="6" t="s">
        <v>1562</v>
      </c>
      <c r="L320" s="6" t="s">
        <v>1589</v>
      </c>
      <c r="M320" s="8">
        <v>900</v>
      </c>
      <c r="N320" s="6" t="s">
        <v>1741</v>
      </c>
      <c r="O320" s="24">
        <v>1</v>
      </c>
      <c r="P320" s="8">
        <v>900</v>
      </c>
      <c r="Q320" s="6" t="s">
        <v>1741</v>
      </c>
      <c r="R320" s="6" t="s">
        <v>1560</v>
      </c>
      <c r="S320" s="6" t="s">
        <v>1699</v>
      </c>
      <c r="T320" s="10" t="s">
        <v>1771</v>
      </c>
      <c r="U320" s="10" t="s">
        <v>1742</v>
      </c>
      <c r="V320" s="6" t="s">
        <v>59</v>
      </c>
      <c r="W320" s="8">
        <v>900</v>
      </c>
      <c r="X320" s="6" t="s">
        <v>74</v>
      </c>
    </row>
    <row r="321" spans="1:25" s="6" customFormat="1" ht="276">
      <c r="A321" s="6" t="s">
        <v>39</v>
      </c>
      <c r="B321" s="6">
        <v>17</v>
      </c>
      <c r="C321" s="7" t="s">
        <v>113</v>
      </c>
      <c r="D321" s="6" t="s">
        <v>1743</v>
      </c>
      <c r="E321" s="7" t="s">
        <v>1744</v>
      </c>
      <c r="F321" s="7" t="s">
        <v>1568</v>
      </c>
      <c r="G321" s="6" t="s">
        <v>55</v>
      </c>
      <c r="H321" s="6" t="s">
        <v>158</v>
      </c>
      <c r="I321" s="7" t="s">
        <v>1729</v>
      </c>
      <c r="J321" s="7" t="s">
        <v>1729</v>
      </c>
      <c r="K321" s="6" t="s">
        <v>1562</v>
      </c>
      <c r="L321" s="6" t="s">
        <v>1589</v>
      </c>
      <c r="M321" s="8">
        <v>560</v>
      </c>
      <c r="N321" s="6" t="s">
        <v>1672</v>
      </c>
      <c r="O321" s="24">
        <v>1</v>
      </c>
      <c r="P321" s="8">
        <v>560</v>
      </c>
      <c r="Q321" s="6" t="s">
        <v>1672</v>
      </c>
      <c r="R321" s="6" t="s">
        <v>1560</v>
      </c>
      <c r="S321" s="6" t="s">
        <v>1699</v>
      </c>
      <c r="T321" s="10" t="s">
        <v>1770</v>
      </c>
      <c r="U321" s="10" t="s">
        <v>1745</v>
      </c>
      <c r="V321" s="6" t="s">
        <v>59</v>
      </c>
      <c r="W321" s="8">
        <v>3000</v>
      </c>
      <c r="X321" s="6" t="s">
        <v>74</v>
      </c>
    </row>
    <row r="322" spans="1:25" s="6" customFormat="1" ht="276">
      <c r="A322" s="6" t="s">
        <v>39</v>
      </c>
      <c r="B322" s="6">
        <v>17</v>
      </c>
      <c r="C322" s="7" t="s">
        <v>167</v>
      </c>
      <c r="D322" s="6" t="s">
        <v>1746</v>
      </c>
      <c r="E322" s="6" t="s">
        <v>1747</v>
      </c>
      <c r="F322" s="6" t="s">
        <v>1568</v>
      </c>
      <c r="G322" s="6" t="s">
        <v>55</v>
      </c>
      <c r="H322" s="6" t="s">
        <v>158</v>
      </c>
      <c r="I322" s="7" t="s">
        <v>1729</v>
      </c>
      <c r="J322" s="7" t="s">
        <v>1729</v>
      </c>
      <c r="K322" s="6" t="s">
        <v>1562</v>
      </c>
      <c r="L322" s="6" t="s">
        <v>1589</v>
      </c>
      <c r="M322" s="8">
        <v>400</v>
      </c>
      <c r="N322" s="6" t="s">
        <v>1748</v>
      </c>
      <c r="O322" s="24">
        <v>1</v>
      </c>
      <c r="P322" s="8">
        <v>400</v>
      </c>
      <c r="Q322" s="6" t="s">
        <v>1748</v>
      </c>
      <c r="R322" s="6" t="s">
        <v>1560</v>
      </c>
      <c r="S322" s="6" t="s">
        <v>1699</v>
      </c>
      <c r="T322" s="10" t="s">
        <v>1768</v>
      </c>
      <c r="U322" s="10" t="s">
        <v>1738</v>
      </c>
      <c r="V322" s="6" t="s">
        <v>59</v>
      </c>
      <c r="W322" s="8">
        <v>400</v>
      </c>
      <c r="X322" s="6" t="s">
        <v>74</v>
      </c>
    </row>
    <row r="323" spans="1:25" s="6" customFormat="1" ht="276">
      <c r="A323" s="6" t="s">
        <v>39</v>
      </c>
      <c r="B323" s="6">
        <v>17</v>
      </c>
      <c r="C323" s="7" t="s">
        <v>176</v>
      </c>
      <c r="D323" s="6" t="s">
        <v>1749</v>
      </c>
      <c r="E323" s="6" t="s">
        <v>1750</v>
      </c>
      <c r="F323" s="6" t="s">
        <v>1568</v>
      </c>
      <c r="G323" s="6" t="s">
        <v>55</v>
      </c>
      <c r="H323" s="6" t="s">
        <v>158</v>
      </c>
      <c r="I323" s="7" t="s">
        <v>1729</v>
      </c>
      <c r="J323" s="7" t="s">
        <v>1729</v>
      </c>
      <c r="K323" s="6" t="s">
        <v>1562</v>
      </c>
      <c r="L323" s="6" t="s">
        <v>1589</v>
      </c>
      <c r="M323" s="8">
        <v>560</v>
      </c>
      <c r="N323" s="6" t="s">
        <v>1672</v>
      </c>
      <c r="O323" s="24">
        <v>1</v>
      </c>
      <c r="P323" s="8">
        <v>560</v>
      </c>
      <c r="Q323" s="6" t="s">
        <v>1672</v>
      </c>
      <c r="R323" s="6" t="s">
        <v>1560</v>
      </c>
      <c r="S323" s="6" t="s">
        <v>1699</v>
      </c>
      <c r="T323" s="10" t="s">
        <v>1769</v>
      </c>
      <c r="U323" s="10" t="s">
        <v>1738</v>
      </c>
      <c r="V323" s="6" t="s">
        <v>59</v>
      </c>
      <c r="W323" s="8">
        <v>560</v>
      </c>
      <c r="X323" s="6" t="s">
        <v>74</v>
      </c>
    </row>
    <row r="324" spans="1:25" s="6" customFormat="1" ht="234.6">
      <c r="A324" s="6" t="s">
        <v>39</v>
      </c>
      <c r="B324" s="7" t="s">
        <v>1751</v>
      </c>
      <c r="C324" s="7" t="s">
        <v>183</v>
      </c>
      <c r="D324" s="6" t="s">
        <v>1752</v>
      </c>
      <c r="E324" s="6" t="s">
        <v>1753</v>
      </c>
      <c r="F324" s="6" t="s">
        <v>40</v>
      </c>
      <c r="G324" s="6" t="s">
        <v>55</v>
      </c>
      <c r="H324" s="6" t="s">
        <v>613</v>
      </c>
      <c r="I324" s="7" t="s">
        <v>1729</v>
      </c>
      <c r="J324" s="7" t="s">
        <v>1529</v>
      </c>
      <c r="K324" s="6">
        <v>3</v>
      </c>
      <c r="L324" s="6" t="s">
        <v>43</v>
      </c>
      <c r="M324" s="8">
        <v>8400</v>
      </c>
      <c r="N324" s="6" t="s">
        <v>1754</v>
      </c>
      <c r="O324" s="24">
        <v>1</v>
      </c>
      <c r="P324" s="8">
        <v>8400</v>
      </c>
      <c r="Q324" s="6" t="s">
        <v>1754</v>
      </c>
      <c r="R324" s="6" t="s">
        <v>1755</v>
      </c>
      <c r="S324" s="6" t="s">
        <v>1756</v>
      </c>
      <c r="T324" s="10" t="s">
        <v>1757</v>
      </c>
      <c r="U324" s="10" t="s">
        <v>1758</v>
      </c>
      <c r="V324" s="6" t="s">
        <v>59</v>
      </c>
      <c r="W324" s="8">
        <v>8400</v>
      </c>
      <c r="X324" s="6" t="s">
        <v>58</v>
      </c>
    </row>
    <row r="325" spans="1:25" s="6" customFormat="1" ht="207">
      <c r="A325" s="6" t="s">
        <v>39</v>
      </c>
      <c r="B325" s="6">
        <v>17</v>
      </c>
      <c r="C325" s="7" t="s">
        <v>114</v>
      </c>
      <c r="D325" s="6" t="s">
        <v>1759</v>
      </c>
      <c r="E325" s="6" t="s">
        <v>1760</v>
      </c>
      <c r="F325" s="6" t="s">
        <v>1278</v>
      </c>
      <c r="G325" s="6" t="s">
        <v>55</v>
      </c>
      <c r="H325" s="6" t="s">
        <v>158</v>
      </c>
      <c r="I325" s="7" t="s">
        <v>1730</v>
      </c>
      <c r="J325" s="7" t="s">
        <v>1761</v>
      </c>
      <c r="K325" s="6">
        <v>12</v>
      </c>
      <c r="L325" s="6" t="s">
        <v>43</v>
      </c>
      <c r="M325" s="8">
        <v>42200</v>
      </c>
      <c r="N325" s="6" t="s">
        <v>1762</v>
      </c>
      <c r="O325" s="24">
        <v>1</v>
      </c>
      <c r="P325" s="8">
        <v>42200</v>
      </c>
      <c r="Q325" s="6" t="s">
        <v>1762</v>
      </c>
      <c r="R325" s="6" t="s">
        <v>1509</v>
      </c>
      <c r="S325" s="6" t="s">
        <v>1763</v>
      </c>
      <c r="T325" s="10" t="s">
        <v>1764</v>
      </c>
      <c r="U325" s="10" t="s">
        <v>1765</v>
      </c>
      <c r="V325" s="6" t="s">
        <v>59</v>
      </c>
      <c r="W325" s="8">
        <v>42200</v>
      </c>
      <c r="X325" s="6" t="s">
        <v>74</v>
      </c>
    </row>
    <row r="326" spans="1:25" s="6" customFormat="1" ht="276">
      <c r="A326" s="6" t="s">
        <v>39</v>
      </c>
      <c r="B326" s="6">
        <v>17</v>
      </c>
      <c r="C326" s="7" t="s">
        <v>125</v>
      </c>
      <c r="D326" s="6" t="s">
        <v>1766</v>
      </c>
      <c r="E326" s="6" t="s">
        <v>1767</v>
      </c>
      <c r="F326" s="6" t="s">
        <v>1568</v>
      </c>
      <c r="G326" s="6" t="s">
        <v>55</v>
      </c>
      <c r="H326" s="6" t="s">
        <v>158</v>
      </c>
      <c r="I326" s="7" t="s">
        <v>1729</v>
      </c>
      <c r="J326" s="7" t="s">
        <v>1729</v>
      </c>
      <c r="K326" s="6" t="s">
        <v>1562</v>
      </c>
      <c r="L326" s="6" t="s">
        <v>1589</v>
      </c>
      <c r="M326" s="8">
        <v>560</v>
      </c>
      <c r="N326" s="6" t="s">
        <v>1672</v>
      </c>
      <c r="O326" s="24">
        <v>1</v>
      </c>
      <c r="P326" s="8">
        <v>560</v>
      </c>
      <c r="Q326" s="6" t="s">
        <v>1672</v>
      </c>
      <c r="R326" s="6" t="s">
        <v>1560</v>
      </c>
      <c r="S326" s="6" t="s">
        <v>1699</v>
      </c>
      <c r="T326" s="10" t="s">
        <v>1772</v>
      </c>
      <c r="U326" s="10" t="s">
        <v>1773</v>
      </c>
      <c r="V326" s="6" t="s">
        <v>59</v>
      </c>
      <c r="W326" s="8">
        <v>3000</v>
      </c>
      <c r="X326" s="6" t="s">
        <v>74</v>
      </c>
    </row>
    <row r="327" spans="1:25" s="6" customFormat="1" ht="138">
      <c r="A327" s="6" t="s">
        <v>39</v>
      </c>
      <c r="B327" s="6">
        <v>17</v>
      </c>
      <c r="C327" s="7" t="s">
        <v>134</v>
      </c>
      <c r="D327" s="6" t="s">
        <v>1782</v>
      </c>
      <c r="E327" s="6" t="s">
        <v>1774</v>
      </c>
      <c r="F327" s="6" t="s">
        <v>1568</v>
      </c>
      <c r="G327" s="6" t="s">
        <v>55</v>
      </c>
      <c r="H327" s="6" t="s">
        <v>158</v>
      </c>
      <c r="I327" s="7" t="s">
        <v>1729</v>
      </c>
      <c r="J327" s="7" t="s">
        <v>1775</v>
      </c>
      <c r="K327" s="6">
        <v>7</v>
      </c>
      <c r="L327" s="6" t="s">
        <v>1589</v>
      </c>
      <c r="M327" s="8">
        <v>2370</v>
      </c>
      <c r="N327" s="6" t="s">
        <v>1776</v>
      </c>
      <c r="O327" s="24">
        <v>1</v>
      </c>
      <c r="P327" s="8">
        <v>2280</v>
      </c>
      <c r="Q327" s="6" t="s">
        <v>1786</v>
      </c>
      <c r="R327" s="6" t="s">
        <v>1777</v>
      </c>
      <c r="S327" s="6" t="s">
        <v>1778</v>
      </c>
      <c r="T327" s="10" t="s">
        <v>1779</v>
      </c>
      <c r="U327" s="10" t="s">
        <v>1780</v>
      </c>
      <c r="V327" s="6" t="s">
        <v>59</v>
      </c>
      <c r="W327" s="8">
        <v>1982352.33</v>
      </c>
      <c r="X327" s="6" t="s">
        <v>74</v>
      </c>
      <c r="Y327" s="6" t="s">
        <v>1781</v>
      </c>
    </row>
    <row r="328" spans="1:25" s="6" customFormat="1" ht="124.2">
      <c r="A328" s="6" t="s">
        <v>39</v>
      </c>
      <c r="B328" s="6">
        <v>17</v>
      </c>
      <c r="C328" s="7" t="s">
        <v>134</v>
      </c>
      <c r="D328" s="6" t="s">
        <v>1782</v>
      </c>
      <c r="E328" s="6" t="s">
        <v>1783</v>
      </c>
      <c r="F328" s="6" t="s">
        <v>1568</v>
      </c>
      <c r="G328" s="6" t="s">
        <v>55</v>
      </c>
      <c r="H328" s="6" t="s">
        <v>158</v>
      </c>
      <c r="I328" s="7" t="s">
        <v>1716</v>
      </c>
      <c r="J328" s="7" t="s">
        <v>1775</v>
      </c>
      <c r="K328" s="6" t="s">
        <v>1784</v>
      </c>
      <c r="L328" s="6" t="s">
        <v>1589</v>
      </c>
      <c r="M328" s="8">
        <v>1800</v>
      </c>
      <c r="N328" s="6" t="s">
        <v>1785</v>
      </c>
      <c r="O328" s="24">
        <v>1</v>
      </c>
      <c r="P328" s="8">
        <v>1450</v>
      </c>
      <c r="Q328" s="6" t="s">
        <v>1787</v>
      </c>
      <c r="R328" s="6" t="s">
        <v>1777</v>
      </c>
      <c r="S328" s="6" t="s">
        <v>1778</v>
      </c>
      <c r="T328" s="10" t="s">
        <v>1788</v>
      </c>
      <c r="U328" s="10" t="s">
        <v>1789</v>
      </c>
      <c r="V328" s="6" t="s">
        <v>59</v>
      </c>
      <c r="W328" s="8">
        <v>1982352.33</v>
      </c>
      <c r="X328" s="6" t="s">
        <v>74</v>
      </c>
      <c r="Y328" s="6" t="s">
        <v>1790</v>
      </c>
    </row>
    <row r="329" spans="1:25" s="6" customFormat="1" ht="124.2">
      <c r="A329" s="6" t="s">
        <v>39</v>
      </c>
      <c r="B329" s="6">
        <v>17</v>
      </c>
      <c r="C329" s="7" t="s">
        <v>134</v>
      </c>
      <c r="D329" s="6" t="s">
        <v>1782</v>
      </c>
      <c r="E329" s="6" t="s">
        <v>1791</v>
      </c>
      <c r="F329" s="6" t="s">
        <v>1568</v>
      </c>
      <c r="G329" s="6" t="s">
        <v>55</v>
      </c>
      <c r="H329" s="6" t="s">
        <v>158</v>
      </c>
      <c r="I329" s="7" t="s">
        <v>1792</v>
      </c>
      <c r="J329" s="7" t="s">
        <v>1792</v>
      </c>
      <c r="K329" s="6" t="s">
        <v>1562</v>
      </c>
      <c r="L329" s="6" t="s">
        <v>1589</v>
      </c>
      <c r="M329" s="8">
        <v>250</v>
      </c>
      <c r="N329" s="6" t="s">
        <v>1793</v>
      </c>
      <c r="O329" s="24">
        <v>1</v>
      </c>
      <c r="P329" s="8">
        <v>250</v>
      </c>
      <c r="Q329" s="6" t="s">
        <v>1793</v>
      </c>
      <c r="R329" s="6" t="s">
        <v>1777</v>
      </c>
      <c r="S329" s="6" t="s">
        <v>1778</v>
      </c>
      <c r="T329" s="10" t="s">
        <v>1794</v>
      </c>
      <c r="U329" s="10" t="s">
        <v>1795</v>
      </c>
      <c r="V329" s="6" t="s">
        <v>59</v>
      </c>
      <c r="W329" s="8">
        <v>9520.41</v>
      </c>
      <c r="X329" s="6" t="s">
        <v>74</v>
      </c>
    </row>
    <row r="330" spans="1:25" s="6" customFormat="1" ht="262.2">
      <c r="A330" s="6" t="s">
        <v>39</v>
      </c>
      <c r="B330" s="6">
        <v>17</v>
      </c>
      <c r="C330" s="7" t="s">
        <v>191</v>
      </c>
      <c r="D330" s="6" t="s">
        <v>1796</v>
      </c>
      <c r="E330" s="6" t="s">
        <v>1797</v>
      </c>
      <c r="F330" s="6" t="s">
        <v>1278</v>
      </c>
      <c r="G330" s="6" t="s">
        <v>55</v>
      </c>
      <c r="H330" s="6" t="s">
        <v>158</v>
      </c>
      <c r="I330" s="7" t="s">
        <v>1729</v>
      </c>
      <c r="J330" s="7" t="s">
        <v>1798</v>
      </c>
      <c r="K330" s="6">
        <v>6</v>
      </c>
      <c r="L330" s="6" t="s">
        <v>43</v>
      </c>
      <c r="M330" s="8">
        <v>5444</v>
      </c>
      <c r="N330" s="6" t="s">
        <v>1799</v>
      </c>
      <c r="O330" s="24">
        <v>1</v>
      </c>
      <c r="P330" s="8">
        <v>5444</v>
      </c>
      <c r="Q330" s="6" t="s">
        <v>1799</v>
      </c>
      <c r="R330" s="6" t="s">
        <v>1509</v>
      </c>
      <c r="S330" s="6" t="s">
        <v>1800</v>
      </c>
      <c r="T330" s="10" t="s">
        <v>1801</v>
      </c>
      <c r="U330" s="10" t="s">
        <v>1802</v>
      </c>
      <c r="V330" s="6" t="s">
        <v>59</v>
      </c>
      <c r="W330" s="8">
        <v>5444</v>
      </c>
      <c r="X330" s="6" t="s">
        <v>74</v>
      </c>
    </row>
    <row r="331" spans="1:25" s="6" customFormat="1" ht="409.6">
      <c r="A331" s="6" t="s">
        <v>39</v>
      </c>
      <c r="B331" s="6">
        <v>17</v>
      </c>
      <c r="C331" s="7" t="s">
        <v>273</v>
      </c>
      <c r="D331" s="6" t="s">
        <v>1803</v>
      </c>
      <c r="E331" s="6" t="s">
        <v>1804</v>
      </c>
      <c r="F331" s="6" t="s">
        <v>1278</v>
      </c>
      <c r="G331" s="6" t="s">
        <v>55</v>
      </c>
      <c r="H331" s="6" t="s">
        <v>158</v>
      </c>
      <c r="I331" s="7" t="s">
        <v>1537</v>
      </c>
      <c r="J331" s="7" t="s">
        <v>1805</v>
      </c>
      <c r="K331" s="6">
        <v>37</v>
      </c>
      <c r="L331" s="6" t="s">
        <v>43</v>
      </c>
      <c r="M331" s="8">
        <v>65000</v>
      </c>
      <c r="N331" s="6" t="s">
        <v>1628</v>
      </c>
      <c r="O331" s="24">
        <v>1</v>
      </c>
      <c r="P331" s="8">
        <v>130000</v>
      </c>
      <c r="Q331" s="6" t="s">
        <v>1806</v>
      </c>
      <c r="R331" s="6" t="s">
        <v>1509</v>
      </c>
      <c r="S331" s="6" t="s">
        <v>1807</v>
      </c>
      <c r="T331" s="10" t="s">
        <v>1808</v>
      </c>
      <c r="U331" s="10" t="s">
        <v>1809</v>
      </c>
      <c r="V331" s="6" t="s">
        <v>59</v>
      </c>
      <c r="W331" s="8">
        <v>130000</v>
      </c>
      <c r="X331" s="6" t="s">
        <v>74</v>
      </c>
      <c r="Y331" s="6" t="s">
        <v>1857</v>
      </c>
    </row>
    <row r="332" spans="1:25" s="43" customFormat="1" ht="409.6">
      <c r="A332" s="37" t="s">
        <v>39</v>
      </c>
      <c r="B332" s="48">
        <v>17</v>
      </c>
      <c r="C332" s="49" t="s">
        <v>192</v>
      </c>
      <c r="D332" s="37" t="s">
        <v>3652</v>
      </c>
      <c r="E332" s="37" t="s">
        <v>3653</v>
      </c>
      <c r="F332" s="37" t="s">
        <v>2880</v>
      </c>
      <c r="G332" s="37" t="s">
        <v>55</v>
      </c>
      <c r="H332" s="37" t="s">
        <v>3654</v>
      </c>
      <c r="I332" s="38" t="s">
        <v>1730</v>
      </c>
      <c r="J332" s="38" t="s">
        <v>1627</v>
      </c>
      <c r="K332" s="37">
        <v>30</v>
      </c>
      <c r="L332" s="37" t="s">
        <v>2906</v>
      </c>
      <c r="M332" s="39">
        <v>1411775</v>
      </c>
      <c r="N332" s="37" t="s">
        <v>3655</v>
      </c>
      <c r="O332" s="40">
        <v>1</v>
      </c>
      <c r="P332" s="39">
        <v>1411775</v>
      </c>
      <c r="Q332" s="37" t="s">
        <v>3655</v>
      </c>
      <c r="R332" s="37" t="s">
        <v>1509</v>
      </c>
      <c r="S332" s="37" t="s">
        <v>3357</v>
      </c>
      <c r="T332" s="41" t="s">
        <v>3656</v>
      </c>
      <c r="U332" s="41" t="s">
        <v>3664</v>
      </c>
      <c r="V332" s="37" t="s">
        <v>59</v>
      </c>
      <c r="W332" s="45" t="s">
        <v>461</v>
      </c>
      <c r="X332" s="37" t="s">
        <v>3657</v>
      </c>
      <c r="Y332" s="37"/>
    </row>
    <row r="333" spans="1:25" s="6" customFormat="1" ht="82.8">
      <c r="A333" s="6" t="s">
        <v>39</v>
      </c>
      <c r="B333" s="6">
        <v>17</v>
      </c>
      <c r="C333" s="7" t="s">
        <v>201</v>
      </c>
      <c r="D333" s="6" t="s">
        <v>1810</v>
      </c>
      <c r="E333" s="6" t="s">
        <v>1811</v>
      </c>
      <c r="F333" s="6" t="s">
        <v>1568</v>
      </c>
      <c r="G333" s="6" t="s">
        <v>55</v>
      </c>
      <c r="H333" s="6" t="s">
        <v>117</v>
      </c>
      <c r="I333" s="7" t="s">
        <v>1537</v>
      </c>
      <c r="J333" s="7" t="s">
        <v>1537</v>
      </c>
      <c r="K333" s="6" t="s">
        <v>1697</v>
      </c>
      <c r="L333" s="6" t="s">
        <v>1589</v>
      </c>
      <c r="M333" s="8">
        <v>700</v>
      </c>
      <c r="N333" s="6" t="s">
        <v>1563</v>
      </c>
      <c r="O333" s="24">
        <v>1</v>
      </c>
      <c r="P333" s="8">
        <v>700</v>
      </c>
      <c r="Q333" s="6" t="s">
        <v>1563</v>
      </c>
      <c r="R333" s="6" t="s">
        <v>1813</v>
      </c>
      <c r="S333" s="6" t="s">
        <v>1814</v>
      </c>
      <c r="T333" s="10" t="s">
        <v>1815</v>
      </c>
      <c r="U333" s="10" t="s">
        <v>1816</v>
      </c>
      <c r="V333" s="6" t="s">
        <v>59</v>
      </c>
      <c r="W333" s="8">
        <v>6250</v>
      </c>
      <c r="X333" s="6" t="s">
        <v>74</v>
      </c>
    </row>
    <row r="334" spans="1:25" s="6" customFormat="1" ht="303.60000000000002">
      <c r="A334" s="6" t="s">
        <v>39</v>
      </c>
      <c r="B334" s="6">
        <v>17</v>
      </c>
      <c r="C334" s="7" t="s">
        <v>285</v>
      </c>
      <c r="D334" s="6" t="s">
        <v>1817</v>
      </c>
      <c r="E334" s="6" t="s">
        <v>1818</v>
      </c>
      <c r="F334" s="6" t="s">
        <v>1568</v>
      </c>
      <c r="G334" s="6" t="s">
        <v>55</v>
      </c>
      <c r="H334" s="6" t="s">
        <v>158</v>
      </c>
      <c r="I334" s="7" t="s">
        <v>1537</v>
      </c>
      <c r="J334" s="7" t="s">
        <v>1537</v>
      </c>
      <c r="K334" s="6" t="s">
        <v>1562</v>
      </c>
      <c r="L334" s="6" t="s">
        <v>1589</v>
      </c>
      <c r="M334" s="8">
        <v>240</v>
      </c>
      <c r="N334" s="6" t="s">
        <v>1819</v>
      </c>
      <c r="O334" s="24">
        <v>1</v>
      </c>
      <c r="P334" s="8">
        <v>240</v>
      </c>
      <c r="Q334" s="6" t="s">
        <v>1819</v>
      </c>
      <c r="R334" s="6" t="s">
        <v>1560</v>
      </c>
      <c r="S334" s="6" t="s">
        <v>1820</v>
      </c>
      <c r="T334" s="10" t="s">
        <v>1821</v>
      </c>
      <c r="U334" s="10" t="s">
        <v>1822</v>
      </c>
      <c r="V334" s="6" t="s">
        <v>59</v>
      </c>
      <c r="W334" s="8">
        <v>751779.6</v>
      </c>
      <c r="X334" s="6" t="s">
        <v>74</v>
      </c>
    </row>
    <row r="335" spans="1:25" s="6" customFormat="1" ht="165.6">
      <c r="A335" s="6" t="s">
        <v>39</v>
      </c>
      <c r="B335" s="6">
        <v>17</v>
      </c>
      <c r="C335" s="7" t="s">
        <v>295</v>
      </c>
      <c r="D335" s="6" t="s">
        <v>1823</v>
      </c>
      <c r="E335" s="6" t="s">
        <v>1824</v>
      </c>
      <c r="F335" s="6" t="s">
        <v>1568</v>
      </c>
      <c r="G335" s="6" t="s">
        <v>55</v>
      </c>
      <c r="H335" s="6" t="s">
        <v>1825</v>
      </c>
      <c r="I335" s="7" t="s">
        <v>1529</v>
      </c>
      <c r="J335" s="7" t="s">
        <v>1529</v>
      </c>
      <c r="K335" s="6" t="s">
        <v>1697</v>
      </c>
      <c r="L335" s="6" t="s">
        <v>1589</v>
      </c>
      <c r="M335" s="8">
        <v>2900</v>
      </c>
      <c r="N335" s="6" t="s">
        <v>1686</v>
      </c>
      <c r="O335" s="24">
        <v>1</v>
      </c>
      <c r="P335" s="8">
        <v>2900</v>
      </c>
      <c r="Q335" s="6" t="s">
        <v>1686</v>
      </c>
      <c r="R335" s="6" t="s">
        <v>1826</v>
      </c>
      <c r="S335" s="6" t="s">
        <v>1827</v>
      </c>
      <c r="T335" s="10" t="s">
        <v>1828</v>
      </c>
      <c r="U335" s="10" t="s">
        <v>1829</v>
      </c>
      <c r="V335" s="6" t="s">
        <v>59</v>
      </c>
      <c r="W335" s="8">
        <v>5908.65</v>
      </c>
      <c r="X335" s="6" t="s">
        <v>74</v>
      </c>
    </row>
    <row r="336" spans="1:25" s="43" customFormat="1" ht="409.6">
      <c r="A336" s="37" t="s">
        <v>39</v>
      </c>
      <c r="B336" s="37">
        <v>17</v>
      </c>
      <c r="C336" s="38" t="s">
        <v>305</v>
      </c>
      <c r="D336" s="37" t="s">
        <v>3658</v>
      </c>
      <c r="E336" s="37" t="s">
        <v>3659</v>
      </c>
      <c r="F336" s="37" t="s">
        <v>2880</v>
      </c>
      <c r="G336" s="37" t="s">
        <v>55</v>
      </c>
      <c r="H336" s="37" t="s">
        <v>1476</v>
      </c>
      <c r="I336" s="38" t="s">
        <v>1730</v>
      </c>
      <c r="J336" s="38" t="s">
        <v>1713</v>
      </c>
      <c r="K336" s="37">
        <v>9</v>
      </c>
      <c r="L336" s="37" t="s">
        <v>2906</v>
      </c>
      <c r="M336" s="39">
        <v>58891.74</v>
      </c>
      <c r="N336" s="37" t="s">
        <v>3660</v>
      </c>
      <c r="O336" s="40">
        <v>1</v>
      </c>
      <c r="P336" s="39">
        <v>0</v>
      </c>
      <c r="Q336" s="37" t="s">
        <v>2143</v>
      </c>
      <c r="R336" s="37" t="s">
        <v>1509</v>
      </c>
      <c r="S336" s="37" t="s">
        <v>3661</v>
      </c>
      <c r="T336" s="41" t="s">
        <v>3662</v>
      </c>
      <c r="U336" s="41" t="s">
        <v>3663</v>
      </c>
      <c r="V336" s="37" t="s">
        <v>59</v>
      </c>
      <c r="W336" s="39">
        <v>0</v>
      </c>
      <c r="X336" s="37" t="s">
        <v>74</v>
      </c>
      <c r="Y336" s="37" t="s">
        <v>3665</v>
      </c>
    </row>
    <row r="337" spans="1:25" s="43" customFormat="1" ht="409.6">
      <c r="A337" s="37" t="s">
        <v>39</v>
      </c>
      <c r="B337" s="37">
        <v>17</v>
      </c>
      <c r="C337" s="38" t="s">
        <v>314</v>
      </c>
      <c r="D337" s="37" t="s">
        <v>3666</v>
      </c>
      <c r="E337" s="37" t="s">
        <v>3653</v>
      </c>
      <c r="F337" s="37" t="s">
        <v>2880</v>
      </c>
      <c r="G337" s="37" t="s">
        <v>55</v>
      </c>
      <c r="H337" s="37" t="s">
        <v>3667</v>
      </c>
      <c r="I337" s="38" t="s">
        <v>1730</v>
      </c>
      <c r="J337" s="38" t="s">
        <v>2758</v>
      </c>
      <c r="K337" s="37">
        <v>58</v>
      </c>
      <c r="L337" s="37" t="s">
        <v>2998</v>
      </c>
      <c r="M337" s="39">
        <v>2146625</v>
      </c>
      <c r="N337" s="37" t="s">
        <v>3668</v>
      </c>
      <c r="O337" s="40">
        <v>0.5</v>
      </c>
      <c r="P337" s="39">
        <v>759286.21</v>
      </c>
      <c r="Q337" s="37" t="s">
        <v>3669</v>
      </c>
      <c r="R337" s="37" t="s">
        <v>1509</v>
      </c>
      <c r="S337" s="37" t="s">
        <v>3357</v>
      </c>
      <c r="T337" s="41" t="s">
        <v>3656</v>
      </c>
      <c r="U337" s="41" t="s">
        <v>3664</v>
      </c>
      <c r="V337" s="37" t="s">
        <v>59</v>
      </c>
      <c r="W337" s="33" t="s">
        <v>3925</v>
      </c>
      <c r="X337" s="37" t="s">
        <v>3670</v>
      </c>
      <c r="Y337" s="37" t="s">
        <v>3671</v>
      </c>
    </row>
    <row r="338" spans="1:25" s="6" customFormat="1" ht="276">
      <c r="A338" s="6" t="s">
        <v>39</v>
      </c>
      <c r="B338" s="6">
        <v>17</v>
      </c>
      <c r="C338" s="7" t="s">
        <v>323</v>
      </c>
      <c r="D338" s="6" t="s">
        <v>1830</v>
      </c>
      <c r="E338" s="6" t="s">
        <v>1831</v>
      </c>
      <c r="F338" s="6" t="s">
        <v>1568</v>
      </c>
      <c r="G338" s="6" t="s">
        <v>55</v>
      </c>
      <c r="H338" s="6" t="s">
        <v>158</v>
      </c>
      <c r="I338" s="7" t="s">
        <v>1537</v>
      </c>
      <c r="J338" s="7" t="s">
        <v>1730</v>
      </c>
      <c r="K338" s="6" t="s">
        <v>1697</v>
      </c>
      <c r="L338" s="6" t="s">
        <v>1589</v>
      </c>
      <c r="M338" s="8">
        <v>560</v>
      </c>
      <c r="N338" s="6" t="s">
        <v>1672</v>
      </c>
      <c r="O338" s="24">
        <v>1</v>
      </c>
      <c r="P338" s="8">
        <v>560</v>
      </c>
      <c r="Q338" s="6" t="s">
        <v>1672</v>
      </c>
      <c r="R338" s="6" t="s">
        <v>1560</v>
      </c>
      <c r="S338" s="6" t="s">
        <v>1699</v>
      </c>
      <c r="T338" s="10" t="s">
        <v>1832</v>
      </c>
      <c r="U338" s="10" t="s">
        <v>1833</v>
      </c>
      <c r="V338" s="6" t="s">
        <v>59</v>
      </c>
      <c r="W338" s="8">
        <v>560</v>
      </c>
      <c r="X338" s="6" t="s">
        <v>74</v>
      </c>
    </row>
    <row r="339" spans="1:25" s="6" customFormat="1" ht="289.8">
      <c r="A339" s="6" t="s">
        <v>39</v>
      </c>
      <c r="B339" s="6">
        <v>17</v>
      </c>
      <c r="C339" s="7" t="s">
        <v>330</v>
      </c>
      <c r="D339" s="6" t="s">
        <v>1834</v>
      </c>
      <c r="E339" s="6" t="s">
        <v>1835</v>
      </c>
      <c r="F339" s="6" t="s">
        <v>1568</v>
      </c>
      <c r="G339" s="6" t="s">
        <v>55</v>
      </c>
      <c r="H339" s="6" t="s">
        <v>392</v>
      </c>
      <c r="I339" s="27" t="s">
        <v>59</v>
      </c>
      <c r="J339" s="27" t="s">
        <v>59</v>
      </c>
      <c r="K339" s="26" t="s">
        <v>59</v>
      </c>
      <c r="L339" s="6" t="s">
        <v>1589</v>
      </c>
      <c r="M339" s="8">
        <v>2700</v>
      </c>
      <c r="N339" s="6" t="s">
        <v>1836</v>
      </c>
      <c r="O339" s="24">
        <v>1</v>
      </c>
      <c r="P339" s="8">
        <v>300</v>
      </c>
      <c r="Q339" s="6" t="s">
        <v>1837</v>
      </c>
      <c r="R339" s="6" t="s">
        <v>1838</v>
      </c>
      <c r="S339" s="6" t="s">
        <v>1839</v>
      </c>
      <c r="T339" s="10" t="s">
        <v>1840</v>
      </c>
      <c r="U339" s="10" t="s">
        <v>1841</v>
      </c>
      <c r="V339" s="6" t="s">
        <v>59</v>
      </c>
      <c r="W339" s="8">
        <v>2700</v>
      </c>
      <c r="X339" s="6" t="s">
        <v>74</v>
      </c>
      <c r="Y339" s="6" t="s">
        <v>1842</v>
      </c>
    </row>
    <row r="340" spans="1:25" s="6" customFormat="1" ht="276">
      <c r="A340" s="6" t="s">
        <v>39</v>
      </c>
      <c r="B340" s="6">
        <v>17</v>
      </c>
      <c r="C340" s="7" t="s">
        <v>340</v>
      </c>
      <c r="D340" s="6" t="s">
        <v>1843</v>
      </c>
      <c r="E340" s="6" t="s">
        <v>1844</v>
      </c>
      <c r="F340" s="6" t="s">
        <v>1568</v>
      </c>
      <c r="G340" s="6" t="s">
        <v>55</v>
      </c>
      <c r="H340" s="6" t="s">
        <v>158</v>
      </c>
      <c r="I340" s="7" t="s">
        <v>1730</v>
      </c>
      <c r="J340" s="7" t="s">
        <v>1730</v>
      </c>
      <c r="K340" s="6" t="s">
        <v>1562</v>
      </c>
      <c r="L340" s="6" t="s">
        <v>1589</v>
      </c>
      <c r="M340" s="8">
        <v>840</v>
      </c>
      <c r="N340" s="6" t="s">
        <v>1845</v>
      </c>
      <c r="O340" s="24">
        <v>1</v>
      </c>
      <c r="P340" s="8">
        <v>840</v>
      </c>
      <c r="Q340" s="6" t="s">
        <v>1845</v>
      </c>
      <c r="R340" s="6" t="s">
        <v>1560</v>
      </c>
      <c r="S340" s="6" t="s">
        <v>1699</v>
      </c>
      <c r="T340" s="10" t="s">
        <v>1846</v>
      </c>
      <c r="U340" s="10" t="s">
        <v>1847</v>
      </c>
      <c r="V340" s="6" t="s">
        <v>59</v>
      </c>
      <c r="W340" s="8">
        <v>840</v>
      </c>
      <c r="X340" s="6" t="s">
        <v>74</v>
      </c>
    </row>
    <row r="341" spans="1:25" s="43" customFormat="1" ht="409.6">
      <c r="A341" s="37" t="s">
        <v>39</v>
      </c>
      <c r="B341" s="37">
        <v>17</v>
      </c>
      <c r="C341" s="38" t="s">
        <v>348</v>
      </c>
      <c r="D341" s="37" t="s">
        <v>3672</v>
      </c>
      <c r="E341" s="37" t="s">
        <v>3673</v>
      </c>
      <c r="F341" s="52" t="s">
        <v>2880</v>
      </c>
      <c r="G341" s="37" t="s">
        <v>55</v>
      </c>
      <c r="H341" s="37" t="s">
        <v>49</v>
      </c>
      <c r="I341" s="38" t="s">
        <v>1730</v>
      </c>
      <c r="J341" s="38" t="s">
        <v>1931</v>
      </c>
      <c r="K341" s="37">
        <v>16</v>
      </c>
      <c r="L341" s="37" t="s">
        <v>2906</v>
      </c>
      <c r="M341" s="39">
        <v>64975</v>
      </c>
      <c r="N341" s="37" t="s">
        <v>3674</v>
      </c>
      <c r="O341" s="40">
        <v>1</v>
      </c>
      <c r="P341" s="39">
        <v>64975</v>
      </c>
      <c r="Q341" s="37" t="s">
        <v>3674</v>
      </c>
      <c r="R341" s="37" t="s">
        <v>1509</v>
      </c>
      <c r="S341" s="37" t="s">
        <v>3675</v>
      </c>
      <c r="T341" s="41" t="s">
        <v>3676</v>
      </c>
      <c r="U341" s="41" t="s">
        <v>3677</v>
      </c>
      <c r="V341" s="37" t="s">
        <v>59</v>
      </c>
      <c r="W341" s="39">
        <v>64975</v>
      </c>
      <c r="X341" s="37" t="s">
        <v>3678</v>
      </c>
      <c r="Y341" s="37" t="s">
        <v>3679</v>
      </c>
    </row>
    <row r="342" spans="1:25" s="43" customFormat="1" ht="409.6">
      <c r="A342" s="37" t="s">
        <v>39</v>
      </c>
      <c r="B342" s="37">
        <v>17</v>
      </c>
      <c r="C342" s="38" t="s">
        <v>358</v>
      </c>
      <c r="D342" s="37" t="s">
        <v>3816</v>
      </c>
      <c r="E342" s="37" t="s">
        <v>3673</v>
      </c>
      <c r="F342" s="52" t="s">
        <v>2880</v>
      </c>
      <c r="G342" s="37" t="s">
        <v>55</v>
      </c>
      <c r="H342" s="37" t="s">
        <v>49</v>
      </c>
      <c r="I342" s="38" t="s">
        <v>1730</v>
      </c>
      <c r="J342" s="38" t="s">
        <v>1713</v>
      </c>
      <c r="K342" s="37">
        <v>9</v>
      </c>
      <c r="L342" s="37" t="s">
        <v>2906</v>
      </c>
      <c r="M342" s="39">
        <v>255900</v>
      </c>
      <c r="N342" s="37" t="s">
        <v>3817</v>
      </c>
      <c r="O342" s="40">
        <v>1</v>
      </c>
      <c r="P342" s="39">
        <v>0</v>
      </c>
      <c r="Q342" s="37" t="s">
        <v>2143</v>
      </c>
      <c r="R342" s="37" t="s">
        <v>1509</v>
      </c>
      <c r="S342" s="37" t="s">
        <v>3661</v>
      </c>
      <c r="T342" s="41" t="s">
        <v>3676</v>
      </c>
      <c r="U342" s="41" t="s">
        <v>3677</v>
      </c>
      <c r="V342" s="37" t="s">
        <v>59</v>
      </c>
      <c r="W342" s="39">
        <v>255900</v>
      </c>
      <c r="X342" s="37" t="s">
        <v>74</v>
      </c>
      <c r="Y342" s="37" t="s">
        <v>3818</v>
      </c>
    </row>
    <row r="343" spans="1:25" s="43" customFormat="1" ht="409.6">
      <c r="A343" s="37" t="s">
        <v>39</v>
      </c>
      <c r="B343" s="37">
        <v>17</v>
      </c>
      <c r="C343" s="38" t="s">
        <v>494</v>
      </c>
      <c r="D343" s="37" t="s">
        <v>3819</v>
      </c>
      <c r="E343" s="37" t="s">
        <v>3820</v>
      </c>
      <c r="F343" s="52" t="s">
        <v>2880</v>
      </c>
      <c r="G343" s="37" t="s">
        <v>55</v>
      </c>
      <c r="H343" s="37" t="s">
        <v>333</v>
      </c>
      <c r="I343" s="38" t="s">
        <v>1378</v>
      </c>
      <c r="J343" s="38" t="s">
        <v>2282</v>
      </c>
      <c r="K343" s="37">
        <v>17</v>
      </c>
      <c r="L343" s="37" t="s">
        <v>2998</v>
      </c>
      <c r="M343" s="39">
        <v>61820</v>
      </c>
      <c r="N343" s="37" t="s">
        <v>3821</v>
      </c>
      <c r="O343" s="40">
        <v>0.58699999999999997</v>
      </c>
      <c r="P343" s="39">
        <v>33581.300000000003</v>
      </c>
      <c r="Q343" s="37" t="s">
        <v>3822</v>
      </c>
      <c r="R343" s="37" t="s">
        <v>1509</v>
      </c>
      <c r="S343" s="37" t="s">
        <v>3285</v>
      </c>
      <c r="T343" s="41" t="s">
        <v>3823</v>
      </c>
      <c r="U343" s="41" t="s">
        <v>3824</v>
      </c>
      <c r="V343" s="37" t="s">
        <v>59</v>
      </c>
      <c r="W343" s="39">
        <v>3300000</v>
      </c>
      <c r="X343" s="37" t="s">
        <v>3825</v>
      </c>
      <c r="Y343" s="37" t="s">
        <v>3826</v>
      </c>
    </row>
    <row r="344" spans="1:25" s="6" customFormat="1" ht="317.39999999999998">
      <c r="A344" s="6" t="s">
        <v>39</v>
      </c>
      <c r="B344" s="6">
        <v>17</v>
      </c>
      <c r="C344" s="7" t="s">
        <v>505</v>
      </c>
      <c r="D344" s="6" t="s">
        <v>1848</v>
      </c>
      <c r="E344" s="6" t="s">
        <v>1849</v>
      </c>
      <c r="F344" s="6" t="s">
        <v>1278</v>
      </c>
      <c r="G344" s="6" t="s">
        <v>55</v>
      </c>
      <c r="H344" s="6" t="s">
        <v>1528</v>
      </c>
      <c r="I344" s="7" t="s">
        <v>1529</v>
      </c>
      <c r="J344" s="7" t="s">
        <v>1850</v>
      </c>
      <c r="K344" s="6">
        <v>38</v>
      </c>
      <c r="L344" s="6" t="s">
        <v>43</v>
      </c>
      <c r="M344" s="8">
        <v>34734.339999999997</v>
      </c>
      <c r="N344" s="6" t="s">
        <v>1851</v>
      </c>
      <c r="O344" s="24">
        <v>1</v>
      </c>
      <c r="P344" s="8">
        <v>104203.02</v>
      </c>
      <c r="Q344" s="6" t="s">
        <v>1852</v>
      </c>
      <c r="R344" s="6" t="s">
        <v>1509</v>
      </c>
      <c r="S344" s="6" t="s">
        <v>1853</v>
      </c>
      <c r="T344" s="10" t="s">
        <v>1854</v>
      </c>
      <c r="U344" s="10" t="s">
        <v>1855</v>
      </c>
      <c r="V344" s="6" t="s">
        <v>59</v>
      </c>
      <c r="W344" s="8">
        <v>104203.02</v>
      </c>
      <c r="X344" s="6" t="s">
        <v>74</v>
      </c>
      <c r="Y344" s="6" t="s">
        <v>1856</v>
      </c>
    </row>
    <row r="345" spans="1:25" s="6" customFormat="1" ht="96.6">
      <c r="A345" s="6" t="s">
        <v>39</v>
      </c>
      <c r="B345" s="6">
        <v>17</v>
      </c>
      <c r="C345" s="7" t="s">
        <v>514</v>
      </c>
      <c r="D345" s="6" t="s">
        <v>1858</v>
      </c>
      <c r="E345" s="6" t="s">
        <v>1859</v>
      </c>
      <c r="F345" s="6" t="s">
        <v>1568</v>
      </c>
      <c r="G345" s="6" t="s">
        <v>55</v>
      </c>
      <c r="H345" s="6" t="s">
        <v>158</v>
      </c>
      <c r="I345" s="7" t="s">
        <v>1730</v>
      </c>
      <c r="J345" s="7" t="s">
        <v>1529</v>
      </c>
      <c r="K345" s="6" t="s">
        <v>1860</v>
      </c>
      <c r="L345" s="6" t="s">
        <v>1589</v>
      </c>
      <c r="M345" s="8">
        <v>3350</v>
      </c>
      <c r="N345" s="6" t="s">
        <v>1861</v>
      </c>
      <c r="O345" s="24">
        <v>1</v>
      </c>
      <c r="P345" s="8">
        <v>3350</v>
      </c>
      <c r="Q345" s="6" t="s">
        <v>1861</v>
      </c>
      <c r="R345" s="6" t="s">
        <v>1560</v>
      </c>
      <c r="S345" s="6" t="s">
        <v>1862</v>
      </c>
      <c r="T345" s="10" t="s">
        <v>1863</v>
      </c>
      <c r="U345" s="10" t="s">
        <v>1864</v>
      </c>
      <c r="V345" s="6" t="s">
        <v>59</v>
      </c>
      <c r="W345" s="8">
        <v>3350</v>
      </c>
      <c r="X345" s="6" t="s">
        <v>74</v>
      </c>
    </row>
    <row r="346" spans="1:25" s="6" customFormat="1" ht="276">
      <c r="A346" s="6" t="s">
        <v>39</v>
      </c>
      <c r="B346" s="6">
        <v>17</v>
      </c>
      <c r="C346" s="7" t="s">
        <v>522</v>
      </c>
      <c r="D346" s="6" t="s">
        <v>1865</v>
      </c>
      <c r="E346" s="6" t="s">
        <v>1866</v>
      </c>
      <c r="F346" s="6" t="s">
        <v>1568</v>
      </c>
      <c r="G346" s="6" t="s">
        <v>55</v>
      </c>
      <c r="H346" s="6" t="s">
        <v>158</v>
      </c>
      <c r="I346" s="7" t="s">
        <v>1730</v>
      </c>
      <c r="J346" s="7" t="s">
        <v>1730</v>
      </c>
      <c r="K346" s="6" t="s">
        <v>1812</v>
      </c>
      <c r="L346" s="6" t="s">
        <v>1589</v>
      </c>
      <c r="M346" s="8">
        <v>560</v>
      </c>
      <c r="N346" s="6" t="s">
        <v>1672</v>
      </c>
      <c r="O346" s="24">
        <v>1</v>
      </c>
      <c r="P346" s="8">
        <v>560</v>
      </c>
      <c r="Q346" s="6" t="s">
        <v>1672</v>
      </c>
      <c r="R346" s="6" t="s">
        <v>1560</v>
      </c>
      <c r="S346" s="6" t="s">
        <v>1699</v>
      </c>
      <c r="T346" s="10" t="s">
        <v>1867</v>
      </c>
      <c r="U346" s="10" t="s">
        <v>1868</v>
      </c>
      <c r="V346" s="6" t="s">
        <v>59</v>
      </c>
      <c r="W346" s="8">
        <v>560</v>
      </c>
      <c r="X346" s="6" t="s">
        <v>74</v>
      </c>
    </row>
    <row r="347" spans="1:25" s="6" customFormat="1" ht="289.8">
      <c r="A347" s="6" t="s">
        <v>39</v>
      </c>
      <c r="B347" s="6">
        <v>17</v>
      </c>
      <c r="C347" s="7" t="s">
        <v>528</v>
      </c>
      <c r="D347" s="6" t="s">
        <v>1869</v>
      </c>
      <c r="E347" s="6" t="s">
        <v>1870</v>
      </c>
      <c r="F347" s="6" t="s">
        <v>1568</v>
      </c>
      <c r="G347" s="6" t="s">
        <v>55</v>
      </c>
      <c r="H347" s="6" t="s">
        <v>384</v>
      </c>
      <c r="I347" s="7" t="s">
        <v>1529</v>
      </c>
      <c r="J347" s="7" t="s">
        <v>1529</v>
      </c>
      <c r="K347" s="6" t="s">
        <v>1875</v>
      </c>
      <c r="L347" s="6" t="s">
        <v>1589</v>
      </c>
      <c r="M347" s="8">
        <v>4355</v>
      </c>
      <c r="N347" s="6" t="s">
        <v>1872</v>
      </c>
      <c r="O347" s="24">
        <v>1</v>
      </c>
      <c r="P347" s="8">
        <v>4355</v>
      </c>
      <c r="Q347" s="6" t="s">
        <v>1872</v>
      </c>
      <c r="R347" s="6" t="s">
        <v>1560</v>
      </c>
      <c r="S347" s="6" t="s">
        <v>1564</v>
      </c>
      <c r="T347" s="10" t="s">
        <v>1873</v>
      </c>
      <c r="U347" s="10" t="s">
        <v>1874</v>
      </c>
      <c r="V347" s="6" t="s">
        <v>59</v>
      </c>
      <c r="W347" s="8">
        <v>4355</v>
      </c>
      <c r="X347" s="6" t="s">
        <v>74</v>
      </c>
    </row>
    <row r="348" spans="1:25" s="6" customFormat="1" ht="276">
      <c r="A348" s="6" t="s">
        <v>39</v>
      </c>
      <c r="B348" s="6">
        <v>17</v>
      </c>
      <c r="C348" s="7" t="s">
        <v>536</v>
      </c>
      <c r="D348" s="6" t="s">
        <v>1876</v>
      </c>
      <c r="E348" s="6" t="s">
        <v>1877</v>
      </c>
      <c r="F348" s="6" t="s">
        <v>1568</v>
      </c>
      <c r="G348" s="6" t="s">
        <v>55</v>
      </c>
      <c r="H348" s="6" t="s">
        <v>158</v>
      </c>
      <c r="I348" s="7" t="s">
        <v>1529</v>
      </c>
      <c r="J348" s="7" t="s">
        <v>1529</v>
      </c>
      <c r="K348" s="6" t="s">
        <v>1871</v>
      </c>
      <c r="L348" s="6" t="s">
        <v>1589</v>
      </c>
      <c r="M348" s="8">
        <v>560</v>
      </c>
      <c r="N348" s="6" t="s">
        <v>1672</v>
      </c>
      <c r="O348" s="24">
        <v>1</v>
      </c>
      <c r="P348" s="8">
        <v>560</v>
      </c>
      <c r="Q348" s="6" t="s">
        <v>1672</v>
      </c>
      <c r="R348" s="6" t="s">
        <v>1560</v>
      </c>
      <c r="S348" s="6" t="s">
        <v>1699</v>
      </c>
      <c r="T348" s="10" t="s">
        <v>1878</v>
      </c>
      <c r="U348" s="10" t="s">
        <v>1879</v>
      </c>
      <c r="V348" s="6" t="s">
        <v>59</v>
      </c>
      <c r="W348" s="8">
        <v>560</v>
      </c>
      <c r="X348" s="6" t="s">
        <v>74</v>
      </c>
    </row>
    <row r="349" spans="1:25" s="6" customFormat="1" ht="345.6">
      <c r="A349" s="6" t="s">
        <v>39</v>
      </c>
      <c r="B349" s="6">
        <v>17</v>
      </c>
      <c r="C349" s="7" t="s">
        <v>544</v>
      </c>
      <c r="D349" s="6" t="s">
        <v>1880</v>
      </c>
      <c r="E349" s="6" t="s">
        <v>1881</v>
      </c>
      <c r="F349" s="6" t="s">
        <v>1278</v>
      </c>
      <c r="G349" s="6" t="s">
        <v>55</v>
      </c>
      <c r="H349" s="6" t="s">
        <v>158</v>
      </c>
      <c r="I349" s="7" t="s">
        <v>949</v>
      </c>
      <c r="J349" s="7" t="s">
        <v>1378</v>
      </c>
      <c r="K349" s="6">
        <v>6</v>
      </c>
      <c r="L349" s="6" t="s">
        <v>43</v>
      </c>
      <c r="M349" s="8">
        <v>15948</v>
      </c>
      <c r="N349" s="6" t="s">
        <v>1882</v>
      </c>
      <c r="O349" s="24">
        <v>1</v>
      </c>
      <c r="P349" s="8">
        <v>15948</v>
      </c>
      <c r="Q349" s="6" t="s">
        <v>1882</v>
      </c>
      <c r="R349" s="6" t="s">
        <v>1509</v>
      </c>
      <c r="S349" s="6" t="s">
        <v>1883</v>
      </c>
      <c r="T349" s="10" t="s">
        <v>1884</v>
      </c>
      <c r="U349" s="10" t="s">
        <v>1885</v>
      </c>
      <c r="V349" s="6" t="s">
        <v>59</v>
      </c>
      <c r="W349" s="8">
        <v>15948</v>
      </c>
      <c r="X349" s="6" t="s">
        <v>58</v>
      </c>
    </row>
    <row r="350" spans="1:25" s="6" customFormat="1" ht="289.8">
      <c r="A350" s="6" t="s">
        <v>39</v>
      </c>
      <c r="B350" s="6">
        <v>17</v>
      </c>
      <c r="C350" s="7" t="s">
        <v>842</v>
      </c>
      <c r="D350" s="6" t="s">
        <v>1886</v>
      </c>
      <c r="E350" s="6" t="s">
        <v>1887</v>
      </c>
      <c r="F350" s="6" t="s">
        <v>1568</v>
      </c>
      <c r="G350" s="6" t="s">
        <v>55</v>
      </c>
      <c r="H350" s="6" t="s">
        <v>613</v>
      </c>
      <c r="I350" s="7" t="s">
        <v>1529</v>
      </c>
      <c r="J350" s="7" t="s">
        <v>1529</v>
      </c>
      <c r="K350" s="6" t="s">
        <v>1562</v>
      </c>
      <c r="L350" s="6" t="s">
        <v>1589</v>
      </c>
      <c r="M350" s="8">
        <v>690</v>
      </c>
      <c r="N350" s="6" t="s">
        <v>1888</v>
      </c>
      <c r="O350" s="24">
        <v>1</v>
      </c>
      <c r="P350" s="8">
        <v>690</v>
      </c>
      <c r="Q350" s="6" t="s">
        <v>1888</v>
      </c>
      <c r="R350" s="6" t="s">
        <v>1560</v>
      </c>
      <c r="S350" s="6" t="s">
        <v>1564</v>
      </c>
      <c r="T350" s="10" t="s">
        <v>1889</v>
      </c>
      <c r="U350" s="10" t="s">
        <v>1890</v>
      </c>
      <c r="V350" s="6" t="s">
        <v>59</v>
      </c>
      <c r="W350" s="8">
        <v>3380.36</v>
      </c>
      <c r="X350" s="6" t="s">
        <v>74</v>
      </c>
    </row>
    <row r="351" spans="1:25" s="6" customFormat="1" ht="289.8">
      <c r="A351" s="6" t="s">
        <v>39</v>
      </c>
      <c r="B351" s="6">
        <v>17</v>
      </c>
      <c r="C351" s="7" t="s">
        <v>842</v>
      </c>
      <c r="D351" s="6" t="s">
        <v>1886</v>
      </c>
      <c r="E351" s="6" t="s">
        <v>1891</v>
      </c>
      <c r="F351" s="6" t="s">
        <v>1568</v>
      </c>
      <c r="G351" s="6" t="s">
        <v>55</v>
      </c>
      <c r="H351" s="6" t="s">
        <v>613</v>
      </c>
      <c r="I351" s="7" t="s">
        <v>949</v>
      </c>
      <c r="J351" s="7" t="s">
        <v>1798</v>
      </c>
      <c r="K351" s="6">
        <v>1</v>
      </c>
      <c r="L351" s="6" t="s">
        <v>1589</v>
      </c>
      <c r="M351" s="8">
        <v>1400</v>
      </c>
      <c r="N351" s="6" t="s">
        <v>1892</v>
      </c>
      <c r="O351" s="24">
        <v>1</v>
      </c>
      <c r="P351" s="8">
        <v>1400</v>
      </c>
      <c r="Q351" s="6" t="s">
        <v>1892</v>
      </c>
      <c r="R351" s="6" t="s">
        <v>1560</v>
      </c>
      <c r="S351" s="6" t="s">
        <v>1564</v>
      </c>
      <c r="T351" s="10" t="s">
        <v>1893</v>
      </c>
      <c r="U351" s="10" t="s">
        <v>1894</v>
      </c>
      <c r="V351" s="6" t="s">
        <v>59</v>
      </c>
      <c r="W351" s="8">
        <v>4780.3599999999997</v>
      </c>
      <c r="X351" s="6" t="s">
        <v>74</v>
      </c>
    </row>
    <row r="352" spans="1:25" s="6" customFormat="1" ht="276">
      <c r="A352" s="6" t="s">
        <v>39</v>
      </c>
      <c r="B352" s="6">
        <v>17</v>
      </c>
      <c r="C352" s="7" t="s">
        <v>1283</v>
      </c>
      <c r="D352" s="6" t="s">
        <v>1895</v>
      </c>
      <c r="E352" s="6" t="s">
        <v>1896</v>
      </c>
      <c r="F352" s="6" t="s">
        <v>1568</v>
      </c>
      <c r="G352" s="6" t="s">
        <v>55</v>
      </c>
      <c r="H352" s="6" t="s">
        <v>158</v>
      </c>
      <c r="I352" s="7" t="s">
        <v>949</v>
      </c>
      <c r="J352" s="7" t="s">
        <v>949</v>
      </c>
      <c r="K352" s="6" t="s">
        <v>1199</v>
      </c>
      <c r="L352" s="6" t="s">
        <v>1589</v>
      </c>
      <c r="M352" s="8">
        <v>560</v>
      </c>
      <c r="N352" s="6" t="s">
        <v>1672</v>
      </c>
      <c r="O352" s="24">
        <v>1</v>
      </c>
      <c r="P352" s="8">
        <v>560</v>
      </c>
      <c r="Q352" s="6" t="s">
        <v>1672</v>
      </c>
      <c r="R352" s="6" t="s">
        <v>1560</v>
      </c>
      <c r="S352" s="6" t="s">
        <v>1699</v>
      </c>
      <c r="T352" s="10" t="s">
        <v>1897</v>
      </c>
      <c r="U352" s="10" t="s">
        <v>1898</v>
      </c>
      <c r="V352" s="6" t="s">
        <v>59</v>
      </c>
      <c r="W352" s="8">
        <v>560</v>
      </c>
      <c r="X352" s="6" t="s">
        <v>74</v>
      </c>
    </row>
    <row r="353" spans="1:25" s="6" customFormat="1" ht="409.6">
      <c r="A353" s="6" t="s">
        <v>39</v>
      </c>
      <c r="B353" s="6">
        <v>17</v>
      </c>
      <c r="C353" s="7" t="s">
        <v>555</v>
      </c>
      <c r="D353" s="6" t="s">
        <v>1899</v>
      </c>
      <c r="E353" s="6" t="s">
        <v>1900</v>
      </c>
      <c r="F353" s="6" t="s">
        <v>1278</v>
      </c>
      <c r="G353" s="6" t="s">
        <v>55</v>
      </c>
      <c r="H353" s="6" t="s">
        <v>613</v>
      </c>
      <c r="I353" s="7" t="s">
        <v>1798</v>
      </c>
      <c r="J353" s="7" t="s">
        <v>1901</v>
      </c>
      <c r="K353" s="6">
        <v>24</v>
      </c>
      <c r="L353" s="6" t="s">
        <v>43</v>
      </c>
      <c r="M353" s="8">
        <v>249735</v>
      </c>
      <c r="N353" s="6" t="s">
        <v>1902</v>
      </c>
      <c r="O353" s="24">
        <v>1</v>
      </c>
      <c r="P353" s="8">
        <v>249735</v>
      </c>
      <c r="Q353" s="6" t="s">
        <v>1902</v>
      </c>
      <c r="R353" s="6" t="s">
        <v>1509</v>
      </c>
      <c r="S353" s="6" t="s">
        <v>1903</v>
      </c>
      <c r="T353" s="10" t="s">
        <v>1904</v>
      </c>
      <c r="U353" s="10" t="s">
        <v>1905</v>
      </c>
      <c r="V353" s="6" t="s">
        <v>59</v>
      </c>
      <c r="W353" s="8">
        <v>249735</v>
      </c>
      <c r="X353" s="6" t="s">
        <v>1906</v>
      </c>
    </row>
    <row r="354" spans="1:25" s="43" customFormat="1" ht="409.6">
      <c r="A354" s="37" t="s">
        <v>39</v>
      </c>
      <c r="B354" s="37">
        <v>17</v>
      </c>
      <c r="C354" s="38" t="s">
        <v>564</v>
      </c>
      <c r="D354" s="37" t="s">
        <v>3680</v>
      </c>
      <c r="E354" s="37" t="s">
        <v>3681</v>
      </c>
      <c r="F354" s="52" t="s">
        <v>2880</v>
      </c>
      <c r="G354" s="37" t="s">
        <v>55</v>
      </c>
      <c r="H354" s="37" t="s">
        <v>3682</v>
      </c>
      <c r="I354" s="38" t="s">
        <v>1792</v>
      </c>
      <c r="J354" s="38" t="s">
        <v>1723</v>
      </c>
      <c r="K354" s="37">
        <v>11</v>
      </c>
      <c r="L354" s="37" t="s">
        <v>2906</v>
      </c>
      <c r="M354" s="39">
        <v>51745</v>
      </c>
      <c r="N354" s="37" t="s">
        <v>3683</v>
      </c>
      <c r="O354" s="40">
        <v>1</v>
      </c>
      <c r="P354" s="39">
        <v>51745</v>
      </c>
      <c r="Q354" s="37" t="s">
        <v>3683</v>
      </c>
      <c r="R354" s="37" t="s">
        <v>3684</v>
      </c>
      <c r="S354" s="37" t="s">
        <v>3685</v>
      </c>
      <c r="T354" s="41" t="s">
        <v>3686</v>
      </c>
      <c r="U354" s="41" t="s">
        <v>3687</v>
      </c>
      <c r="V354" s="37" t="s">
        <v>59</v>
      </c>
      <c r="W354" s="39">
        <v>562800</v>
      </c>
      <c r="X354" s="37" t="s">
        <v>3688</v>
      </c>
      <c r="Y354" s="37"/>
    </row>
    <row r="355" spans="1:25" s="6" customFormat="1" ht="345">
      <c r="A355" s="6" t="s">
        <v>39</v>
      </c>
      <c r="B355" s="6">
        <v>17</v>
      </c>
      <c r="C355" s="7" t="s">
        <v>1304</v>
      </c>
      <c r="D355" s="6" t="s">
        <v>1907</v>
      </c>
      <c r="E355" s="6" t="s">
        <v>1908</v>
      </c>
      <c r="F355" s="6" t="s">
        <v>1568</v>
      </c>
      <c r="G355" s="6" t="s">
        <v>55</v>
      </c>
      <c r="H355" s="6" t="s">
        <v>325</v>
      </c>
      <c r="I355" s="7" t="s">
        <v>1798</v>
      </c>
      <c r="J355" s="7" t="s">
        <v>1798</v>
      </c>
      <c r="K355" s="6" t="s">
        <v>1199</v>
      </c>
      <c r="L355" s="6" t="s">
        <v>1589</v>
      </c>
      <c r="M355" s="8">
        <v>560</v>
      </c>
      <c r="N355" s="6" t="s">
        <v>1909</v>
      </c>
      <c r="O355" s="24">
        <v>1</v>
      </c>
      <c r="P355" s="8">
        <v>560</v>
      </c>
      <c r="Q355" s="6" t="s">
        <v>1909</v>
      </c>
      <c r="R355" s="6" t="s">
        <v>1560</v>
      </c>
      <c r="S355" s="6" t="s">
        <v>1910</v>
      </c>
      <c r="T355" s="10" t="s">
        <v>1911</v>
      </c>
      <c r="U355" s="10" t="s">
        <v>1912</v>
      </c>
      <c r="V355" s="6" t="s">
        <v>59</v>
      </c>
      <c r="W355" s="8">
        <v>965</v>
      </c>
      <c r="X355" s="6" t="s">
        <v>74</v>
      </c>
    </row>
    <row r="356" spans="1:25" s="6" customFormat="1" ht="303.60000000000002">
      <c r="A356" s="6" t="s">
        <v>39</v>
      </c>
      <c r="B356" s="6">
        <v>17</v>
      </c>
      <c r="C356" s="7" t="s">
        <v>573</v>
      </c>
      <c r="D356" s="6" t="s">
        <v>1913</v>
      </c>
      <c r="E356" s="6" t="s">
        <v>1914</v>
      </c>
      <c r="F356" s="6" t="s">
        <v>1568</v>
      </c>
      <c r="G356" s="6" t="s">
        <v>55</v>
      </c>
      <c r="H356" s="6" t="s">
        <v>158</v>
      </c>
      <c r="I356" s="7" t="s">
        <v>949</v>
      </c>
      <c r="J356" s="7" t="s">
        <v>1798</v>
      </c>
      <c r="K356" s="6" t="s">
        <v>1199</v>
      </c>
      <c r="L356" s="6" t="s">
        <v>1589</v>
      </c>
      <c r="M356" s="8">
        <v>560</v>
      </c>
      <c r="N356" s="6" t="s">
        <v>1909</v>
      </c>
      <c r="O356" s="24">
        <v>1</v>
      </c>
      <c r="P356" s="8">
        <v>560</v>
      </c>
      <c r="Q356" s="6" t="s">
        <v>1909</v>
      </c>
      <c r="R356" s="6" t="s">
        <v>1560</v>
      </c>
      <c r="S356" s="6" t="s">
        <v>1820</v>
      </c>
      <c r="T356" s="10" t="s">
        <v>1915</v>
      </c>
      <c r="U356" s="10" t="s">
        <v>1916</v>
      </c>
      <c r="V356" s="6" t="s">
        <v>59</v>
      </c>
      <c r="W356" s="8">
        <v>13375.81</v>
      </c>
      <c r="X356" s="6" t="s">
        <v>74</v>
      </c>
    </row>
    <row r="357" spans="1:25" s="6" customFormat="1" ht="289.8">
      <c r="A357" s="6" t="s">
        <v>39</v>
      </c>
      <c r="B357" s="7" t="s">
        <v>1751</v>
      </c>
      <c r="C357" s="7" t="s">
        <v>1318</v>
      </c>
      <c r="D357" s="6" t="s">
        <v>1917</v>
      </c>
      <c r="E357" s="6" t="s">
        <v>4130</v>
      </c>
      <c r="F357" s="6" t="s">
        <v>40</v>
      </c>
      <c r="G357" s="6" t="s">
        <v>55</v>
      </c>
      <c r="H357" s="6" t="s">
        <v>1645</v>
      </c>
      <c r="I357" s="7" t="s">
        <v>949</v>
      </c>
      <c r="J357" s="7" t="s">
        <v>949</v>
      </c>
      <c r="K357" s="6" t="s">
        <v>1871</v>
      </c>
      <c r="L357" s="6" t="s">
        <v>43</v>
      </c>
      <c r="M357" s="8">
        <v>1300</v>
      </c>
      <c r="N357" s="6" t="s">
        <v>1918</v>
      </c>
      <c r="O357" s="24">
        <v>1</v>
      </c>
      <c r="P357" s="8">
        <v>1300</v>
      </c>
      <c r="Q357" s="6" t="s">
        <v>1918</v>
      </c>
      <c r="R357" s="6" t="s">
        <v>1647</v>
      </c>
      <c r="S357" s="6" t="s">
        <v>1648</v>
      </c>
      <c r="T357" s="10" t="s">
        <v>1920</v>
      </c>
      <c r="U357" s="10" t="s">
        <v>1921</v>
      </c>
      <c r="V357" s="6" t="s">
        <v>59</v>
      </c>
      <c r="W357" s="8">
        <v>1300</v>
      </c>
      <c r="X357" s="6" t="s">
        <v>74</v>
      </c>
    </row>
    <row r="358" spans="1:25" s="6" customFormat="1" ht="409.6">
      <c r="A358" s="6" t="s">
        <v>39</v>
      </c>
      <c r="B358" s="6">
        <v>17</v>
      </c>
      <c r="C358" s="7" t="s">
        <v>582</v>
      </c>
      <c r="D358" s="6" t="s">
        <v>1922</v>
      </c>
      <c r="E358" s="6" t="s">
        <v>1923</v>
      </c>
      <c r="F358" s="6" t="s">
        <v>1278</v>
      </c>
      <c r="G358" s="6" t="s">
        <v>55</v>
      </c>
      <c r="H358" s="6" t="s">
        <v>158</v>
      </c>
      <c r="I358" s="7" t="s">
        <v>1924</v>
      </c>
      <c r="J358" s="7" t="s">
        <v>1677</v>
      </c>
      <c r="K358" s="6">
        <v>32</v>
      </c>
      <c r="L358" s="6" t="s">
        <v>43</v>
      </c>
      <c r="M358" s="8">
        <v>74685</v>
      </c>
      <c r="N358" s="6" t="s">
        <v>1925</v>
      </c>
      <c r="O358" s="24">
        <v>1</v>
      </c>
      <c r="P358" s="8">
        <v>224055</v>
      </c>
      <c r="Q358" s="6" t="s">
        <v>1926</v>
      </c>
      <c r="R358" s="6" t="s">
        <v>1509</v>
      </c>
      <c r="S358" s="6" t="s">
        <v>1732</v>
      </c>
      <c r="T358" s="10" t="s">
        <v>1927</v>
      </c>
      <c r="U358" s="10" t="s">
        <v>1928</v>
      </c>
      <c r="V358" s="6" t="s">
        <v>59</v>
      </c>
      <c r="W358" s="8">
        <v>224055</v>
      </c>
      <c r="X358" s="6" t="s">
        <v>1906</v>
      </c>
    </row>
    <row r="359" spans="1:25" s="6" customFormat="1" ht="248.4">
      <c r="A359" s="6" t="s">
        <v>39</v>
      </c>
      <c r="B359" s="6">
        <v>17</v>
      </c>
      <c r="C359" s="7" t="s">
        <v>592</v>
      </c>
      <c r="D359" s="6" t="s">
        <v>1929</v>
      </c>
      <c r="E359" s="6" t="s">
        <v>1930</v>
      </c>
      <c r="F359" s="6" t="s">
        <v>1568</v>
      </c>
      <c r="G359" s="6" t="s">
        <v>55</v>
      </c>
      <c r="H359" s="6" t="s">
        <v>158</v>
      </c>
      <c r="I359" s="7" t="s">
        <v>1798</v>
      </c>
      <c r="J359" s="7" t="s">
        <v>1931</v>
      </c>
      <c r="K359" s="6">
        <v>12</v>
      </c>
      <c r="L359" s="6" t="s">
        <v>1589</v>
      </c>
      <c r="M359" s="8">
        <v>10200</v>
      </c>
      <c r="N359" s="6" t="s">
        <v>1932</v>
      </c>
      <c r="O359" s="24">
        <v>1</v>
      </c>
      <c r="P359" s="8">
        <v>10200</v>
      </c>
      <c r="Q359" s="6" t="s">
        <v>1932</v>
      </c>
      <c r="R359" s="6" t="s">
        <v>1933</v>
      </c>
      <c r="S359" s="6" t="s">
        <v>1934</v>
      </c>
      <c r="T359" s="10" t="s">
        <v>1935</v>
      </c>
      <c r="U359" s="10" t="s">
        <v>1936</v>
      </c>
      <c r="V359" s="6" t="s">
        <v>59</v>
      </c>
      <c r="W359" s="8">
        <v>11286103.99</v>
      </c>
      <c r="X359" s="6" t="s">
        <v>58</v>
      </c>
    </row>
    <row r="360" spans="1:25" s="6" customFormat="1" ht="303.60000000000002">
      <c r="A360" s="6" t="s">
        <v>39</v>
      </c>
      <c r="B360" s="6">
        <v>17</v>
      </c>
      <c r="C360" s="7" t="s">
        <v>597</v>
      </c>
      <c r="D360" s="6" t="s">
        <v>1937</v>
      </c>
      <c r="E360" s="6" t="s">
        <v>1938</v>
      </c>
      <c r="F360" s="6" t="s">
        <v>1568</v>
      </c>
      <c r="G360" s="6" t="s">
        <v>55</v>
      </c>
      <c r="H360" s="6" t="s">
        <v>158</v>
      </c>
      <c r="I360" s="7" t="s">
        <v>1798</v>
      </c>
      <c r="J360" s="7" t="s">
        <v>1798</v>
      </c>
      <c r="K360" s="6" t="s">
        <v>1562</v>
      </c>
      <c r="L360" s="6" t="s">
        <v>1589</v>
      </c>
      <c r="M360" s="8">
        <v>390</v>
      </c>
      <c r="N360" s="6" t="s">
        <v>1939</v>
      </c>
      <c r="O360" s="24">
        <v>1</v>
      </c>
      <c r="P360" s="8">
        <v>390</v>
      </c>
      <c r="Q360" s="6" t="s">
        <v>1939</v>
      </c>
      <c r="R360" s="6" t="s">
        <v>1560</v>
      </c>
      <c r="S360" s="6" t="s">
        <v>1820</v>
      </c>
      <c r="T360" s="10" t="s">
        <v>1940</v>
      </c>
      <c r="U360" s="10" t="s">
        <v>1941</v>
      </c>
      <c r="V360" s="6" t="s">
        <v>59</v>
      </c>
      <c r="W360" s="8">
        <v>390</v>
      </c>
      <c r="X360" s="6" t="s">
        <v>74</v>
      </c>
    </row>
    <row r="361" spans="1:25" s="43" customFormat="1" ht="409.6">
      <c r="A361" s="37" t="s">
        <v>39</v>
      </c>
      <c r="B361" s="37">
        <v>17</v>
      </c>
      <c r="C361" s="38" t="s">
        <v>604</v>
      </c>
      <c r="D361" s="37" t="s">
        <v>3689</v>
      </c>
      <c r="E361" s="37" t="s">
        <v>3690</v>
      </c>
      <c r="F361" s="52" t="s">
        <v>2880</v>
      </c>
      <c r="G361" s="37" t="s">
        <v>55</v>
      </c>
      <c r="H361" s="37" t="s">
        <v>158</v>
      </c>
      <c r="I361" s="38" t="s">
        <v>1496</v>
      </c>
      <c r="J361" s="38" t="s">
        <v>2298</v>
      </c>
      <c r="K361" s="37">
        <v>20</v>
      </c>
      <c r="L361" s="37" t="s">
        <v>2906</v>
      </c>
      <c r="M361" s="39">
        <v>171964.42</v>
      </c>
      <c r="N361" s="37" t="s">
        <v>3691</v>
      </c>
      <c r="O361" s="40">
        <v>1</v>
      </c>
      <c r="P361" s="39">
        <v>171964.42</v>
      </c>
      <c r="Q361" s="37" t="s">
        <v>3691</v>
      </c>
      <c r="R361" s="37" t="s">
        <v>1509</v>
      </c>
      <c r="S361" s="37" t="s">
        <v>3605</v>
      </c>
      <c r="T361" s="41" t="s">
        <v>3692</v>
      </c>
      <c r="U361" s="41" t="s">
        <v>3693</v>
      </c>
      <c r="V361" s="37" t="s">
        <v>59</v>
      </c>
      <c r="W361" s="39" t="s">
        <v>3694</v>
      </c>
      <c r="X361" s="37" t="s">
        <v>74</v>
      </c>
      <c r="Y361" s="37" t="s">
        <v>3695</v>
      </c>
    </row>
    <row r="362" spans="1:25" s="6" customFormat="1" ht="276">
      <c r="A362" s="6" t="s">
        <v>39</v>
      </c>
      <c r="B362" s="6">
        <v>17</v>
      </c>
      <c r="C362" s="7" t="s">
        <v>610</v>
      </c>
      <c r="D362" s="6" t="s">
        <v>1942</v>
      </c>
      <c r="E362" s="6" t="s">
        <v>1943</v>
      </c>
      <c r="F362" s="6" t="s">
        <v>1568</v>
      </c>
      <c r="G362" s="6" t="s">
        <v>55</v>
      </c>
      <c r="H362" s="6" t="s">
        <v>158</v>
      </c>
      <c r="I362" s="7" t="s">
        <v>1798</v>
      </c>
      <c r="J362" s="7" t="s">
        <v>1798</v>
      </c>
      <c r="K362" s="6" t="s">
        <v>1562</v>
      </c>
      <c r="L362" s="6" t="s">
        <v>1589</v>
      </c>
      <c r="M362" s="8">
        <v>390</v>
      </c>
      <c r="N362" s="6" t="s">
        <v>1939</v>
      </c>
      <c r="O362" s="24">
        <v>1</v>
      </c>
      <c r="P362" s="8">
        <v>390</v>
      </c>
      <c r="Q362" s="6" t="s">
        <v>1939</v>
      </c>
      <c r="R362" s="6" t="s">
        <v>1560</v>
      </c>
      <c r="S362" s="6" t="s">
        <v>1699</v>
      </c>
      <c r="T362" s="10" t="s">
        <v>1944</v>
      </c>
      <c r="U362" s="10" t="s">
        <v>1941</v>
      </c>
      <c r="V362" s="6" t="s">
        <v>59</v>
      </c>
      <c r="W362" s="8">
        <v>390</v>
      </c>
      <c r="X362" s="6" t="s">
        <v>74</v>
      </c>
    </row>
    <row r="363" spans="1:25" s="6" customFormat="1" ht="409.6">
      <c r="A363" s="6" t="s">
        <v>39</v>
      </c>
      <c r="B363" s="7" t="s">
        <v>1751</v>
      </c>
      <c r="C363" s="7" t="s">
        <v>623</v>
      </c>
      <c r="D363" s="6" t="s">
        <v>1945</v>
      </c>
      <c r="E363" s="6" t="s">
        <v>1946</v>
      </c>
      <c r="F363" s="6" t="s">
        <v>40</v>
      </c>
      <c r="G363" s="6" t="s">
        <v>55</v>
      </c>
      <c r="H363" s="6" t="s">
        <v>49</v>
      </c>
      <c r="I363" s="7" t="s">
        <v>1792</v>
      </c>
      <c r="J363" s="7" t="s">
        <v>1677</v>
      </c>
      <c r="K363" s="6">
        <v>30</v>
      </c>
      <c r="L363" s="6" t="s">
        <v>289</v>
      </c>
      <c r="M363" s="8">
        <v>400000</v>
      </c>
      <c r="N363" s="6" t="s">
        <v>1947</v>
      </c>
      <c r="O363" s="24">
        <v>0.5</v>
      </c>
      <c r="P363" s="8">
        <v>195840</v>
      </c>
      <c r="Q363" s="6" t="s">
        <v>1948</v>
      </c>
      <c r="R363" s="6" t="s">
        <v>1509</v>
      </c>
      <c r="S363" s="6" t="s">
        <v>1949</v>
      </c>
      <c r="T363" s="10" t="s">
        <v>1950</v>
      </c>
      <c r="U363" s="10" t="s">
        <v>1951</v>
      </c>
      <c r="V363" s="6" t="s">
        <v>1952</v>
      </c>
      <c r="W363" s="8">
        <v>400000</v>
      </c>
      <c r="X363" s="6" t="s">
        <v>1953</v>
      </c>
      <c r="Y363" s="6" t="s">
        <v>1954</v>
      </c>
    </row>
    <row r="364" spans="1:25" s="6" customFormat="1" ht="276">
      <c r="A364" s="6" t="s">
        <v>39</v>
      </c>
      <c r="B364" s="6">
        <v>17</v>
      </c>
      <c r="C364" s="7" t="s">
        <v>632</v>
      </c>
      <c r="D364" s="6" t="s">
        <v>1955</v>
      </c>
      <c r="E364" s="6" t="s">
        <v>1956</v>
      </c>
      <c r="F364" s="6" t="s">
        <v>1568</v>
      </c>
      <c r="G364" s="6" t="s">
        <v>55</v>
      </c>
      <c r="H364" s="6" t="s">
        <v>158</v>
      </c>
      <c r="I364" s="7" t="s">
        <v>1924</v>
      </c>
      <c r="J364" s="7" t="s">
        <v>1924</v>
      </c>
      <c r="K364" s="6" t="s">
        <v>1871</v>
      </c>
      <c r="L364" s="6" t="s">
        <v>1589</v>
      </c>
      <c r="M364" s="8">
        <v>560</v>
      </c>
      <c r="N364" s="6" t="s">
        <v>1957</v>
      </c>
      <c r="O364" s="24">
        <v>1</v>
      </c>
      <c r="P364" s="8">
        <v>560</v>
      </c>
      <c r="Q364" s="6" t="s">
        <v>1957</v>
      </c>
      <c r="R364" s="6" t="s">
        <v>1560</v>
      </c>
      <c r="S364" s="6" t="s">
        <v>1699</v>
      </c>
      <c r="T364" s="10" t="s">
        <v>1958</v>
      </c>
      <c r="U364" s="10" t="s">
        <v>1959</v>
      </c>
      <c r="V364" s="6" t="s">
        <v>59</v>
      </c>
      <c r="W364" s="8">
        <v>560</v>
      </c>
      <c r="X364" s="6" t="s">
        <v>74</v>
      </c>
    </row>
    <row r="365" spans="1:25" s="6" customFormat="1" ht="276">
      <c r="A365" s="6" t="s">
        <v>39</v>
      </c>
      <c r="B365" s="6">
        <v>17</v>
      </c>
      <c r="C365" s="7" t="s">
        <v>1960</v>
      </c>
      <c r="D365" s="6" t="s">
        <v>1702</v>
      </c>
      <c r="E365" s="6" t="s">
        <v>1961</v>
      </c>
      <c r="F365" s="6" t="s">
        <v>1568</v>
      </c>
      <c r="G365" s="6" t="s">
        <v>55</v>
      </c>
      <c r="H365" s="6" t="s">
        <v>158</v>
      </c>
      <c r="I365" s="7" t="s">
        <v>1924</v>
      </c>
      <c r="J365" s="7" t="s">
        <v>1924</v>
      </c>
      <c r="K365" s="6" t="s">
        <v>1871</v>
      </c>
      <c r="L365" s="6" t="s">
        <v>1589</v>
      </c>
      <c r="M365" s="8">
        <v>560</v>
      </c>
      <c r="N365" s="6" t="s">
        <v>1957</v>
      </c>
      <c r="O365" s="24">
        <v>1</v>
      </c>
      <c r="P365" s="8">
        <v>560</v>
      </c>
      <c r="Q365" s="6" t="s">
        <v>1957</v>
      </c>
      <c r="R365" s="6" t="s">
        <v>1560</v>
      </c>
      <c r="S365" s="6" t="s">
        <v>1699</v>
      </c>
      <c r="T365" s="10" t="s">
        <v>1962</v>
      </c>
      <c r="U365" s="10" t="s">
        <v>1963</v>
      </c>
      <c r="V365" s="6" t="s">
        <v>59</v>
      </c>
      <c r="W365" s="8">
        <v>560</v>
      </c>
      <c r="X365" s="6" t="s">
        <v>74</v>
      </c>
    </row>
    <row r="366" spans="1:25" s="6" customFormat="1" ht="220.8">
      <c r="A366" s="6" t="s">
        <v>39</v>
      </c>
      <c r="B366" s="6">
        <v>17</v>
      </c>
      <c r="C366" s="7" t="s">
        <v>1688</v>
      </c>
      <c r="D366" s="6" t="s">
        <v>3696</v>
      </c>
      <c r="E366" s="6" t="s">
        <v>3697</v>
      </c>
      <c r="F366" s="6" t="s">
        <v>1278</v>
      </c>
      <c r="G366" s="6" t="s">
        <v>55</v>
      </c>
      <c r="H366" s="6" t="s">
        <v>158</v>
      </c>
      <c r="I366" s="7" t="s">
        <v>1496</v>
      </c>
      <c r="J366" s="7" t="s">
        <v>1982</v>
      </c>
      <c r="K366" s="6">
        <v>6</v>
      </c>
      <c r="L366" s="6" t="s">
        <v>43</v>
      </c>
      <c r="M366" s="8">
        <v>15744</v>
      </c>
      <c r="N366" s="6" t="s">
        <v>3698</v>
      </c>
      <c r="O366" s="24">
        <v>1</v>
      </c>
      <c r="P366" s="8">
        <v>15744</v>
      </c>
      <c r="Q366" s="6" t="s">
        <v>3698</v>
      </c>
      <c r="R366" s="6" t="s">
        <v>1509</v>
      </c>
      <c r="S366" s="6" t="s">
        <v>3699</v>
      </c>
      <c r="T366" s="10" t="s">
        <v>3700</v>
      </c>
      <c r="U366" s="10" t="s">
        <v>3701</v>
      </c>
      <c r="V366" s="6" t="s">
        <v>59</v>
      </c>
      <c r="W366" s="8">
        <v>15744</v>
      </c>
      <c r="X366" s="6" t="s">
        <v>74</v>
      </c>
    </row>
    <row r="367" spans="1:25" s="6" customFormat="1" ht="262.2">
      <c r="A367" s="6" t="s">
        <v>39</v>
      </c>
      <c r="B367" s="7" t="s">
        <v>1751</v>
      </c>
      <c r="C367" s="7" t="s">
        <v>1694</v>
      </c>
      <c r="D367" s="6" t="s">
        <v>1964</v>
      </c>
      <c r="E367" s="6" t="s">
        <v>1965</v>
      </c>
      <c r="F367" s="6" t="s">
        <v>40</v>
      </c>
      <c r="G367" s="6" t="s">
        <v>55</v>
      </c>
      <c r="H367" s="6" t="s">
        <v>1113</v>
      </c>
      <c r="I367" s="7" t="s">
        <v>1496</v>
      </c>
      <c r="J367" s="7" t="s">
        <v>1496</v>
      </c>
      <c r="K367" s="6" t="s">
        <v>1199</v>
      </c>
      <c r="L367" s="6" t="s">
        <v>43</v>
      </c>
      <c r="M367" s="8">
        <v>5515</v>
      </c>
      <c r="N367" s="6" t="s">
        <v>1966</v>
      </c>
      <c r="O367" s="24">
        <v>1</v>
      </c>
      <c r="P367" s="8">
        <v>5515</v>
      </c>
      <c r="Q367" s="6" t="s">
        <v>1966</v>
      </c>
      <c r="R367" s="6" t="s">
        <v>291</v>
      </c>
      <c r="S367" s="6" t="s">
        <v>1328</v>
      </c>
      <c r="T367" s="10" t="s">
        <v>1967</v>
      </c>
      <c r="U367" s="10" t="s">
        <v>1968</v>
      </c>
      <c r="V367" s="6" t="s">
        <v>59</v>
      </c>
      <c r="W367" s="8">
        <v>8006981.1600000001</v>
      </c>
      <c r="X367" s="6" t="s">
        <v>74</v>
      </c>
    </row>
    <row r="368" spans="1:25" s="6" customFormat="1" ht="262.2">
      <c r="A368" s="6" t="s">
        <v>39</v>
      </c>
      <c r="B368" s="7" t="s">
        <v>1751</v>
      </c>
      <c r="C368" s="7" t="s">
        <v>1701</v>
      </c>
      <c r="D368" s="6" t="s">
        <v>1969</v>
      </c>
      <c r="E368" s="6" t="s">
        <v>1970</v>
      </c>
      <c r="F368" s="6" t="s">
        <v>40</v>
      </c>
      <c r="G368" s="6" t="s">
        <v>55</v>
      </c>
      <c r="H368" s="6" t="s">
        <v>137</v>
      </c>
      <c r="I368" s="7" t="s">
        <v>1496</v>
      </c>
      <c r="J368" s="7" t="s">
        <v>1496</v>
      </c>
      <c r="K368" s="6" t="s">
        <v>1199</v>
      </c>
      <c r="L368" s="6" t="s">
        <v>43</v>
      </c>
      <c r="M368" s="8">
        <v>7125</v>
      </c>
      <c r="N368" s="8" t="s">
        <v>1971</v>
      </c>
      <c r="O368" s="24">
        <v>1</v>
      </c>
      <c r="P368" s="8">
        <v>7125</v>
      </c>
      <c r="Q368" s="6" t="s">
        <v>1971</v>
      </c>
      <c r="R368" s="6" t="s">
        <v>291</v>
      </c>
      <c r="S368" s="6" t="s">
        <v>1328</v>
      </c>
      <c r="T368" s="10" t="s">
        <v>1972</v>
      </c>
      <c r="U368" s="10" t="s">
        <v>1973</v>
      </c>
      <c r="V368" s="6" t="s">
        <v>59</v>
      </c>
      <c r="W368" s="8">
        <v>8409624.2599999998</v>
      </c>
      <c r="X368" s="6" t="s">
        <v>74</v>
      </c>
    </row>
    <row r="369" spans="1:25" s="6" customFormat="1" ht="138">
      <c r="A369" s="6" t="s">
        <v>39</v>
      </c>
      <c r="B369" s="7" t="s">
        <v>1751</v>
      </c>
      <c r="C369" s="7" t="s">
        <v>1707</v>
      </c>
      <c r="D369" s="6" t="s">
        <v>3827</v>
      </c>
      <c r="E369" s="6" t="s">
        <v>3828</v>
      </c>
      <c r="F369" s="6" t="s">
        <v>40</v>
      </c>
      <c r="G369" s="6" t="s">
        <v>2528</v>
      </c>
      <c r="H369" s="6" t="s">
        <v>2529</v>
      </c>
      <c r="I369" s="7" t="s">
        <v>1496</v>
      </c>
      <c r="J369" s="7" t="s">
        <v>1982</v>
      </c>
      <c r="K369" s="6">
        <v>6</v>
      </c>
      <c r="L369" s="6" t="s">
        <v>43</v>
      </c>
      <c r="M369" s="8">
        <v>17097.830000000002</v>
      </c>
      <c r="N369" s="8" t="s">
        <v>3829</v>
      </c>
      <c r="O369" s="24">
        <v>1</v>
      </c>
      <c r="P369" s="8">
        <v>17097.830000000002</v>
      </c>
      <c r="Q369" s="8" t="s">
        <v>3829</v>
      </c>
      <c r="R369" s="6" t="s">
        <v>3830</v>
      </c>
      <c r="S369" s="6" t="s">
        <v>3831</v>
      </c>
      <c r="T369" s="10" t="s">
        <v>3833</v>
      </c>
      <c r="U369" s="10" t="s">
        <v>3832</v>
      </c>
      <c r="V369" s="6" t="s">
        <v>59</v>
      </c>
      <c r="W369" s="8">
        <v>2747359.22</v>
      </c>
      <c r="X369" s="6" t="s">
        <v>3834</v>
      </c>
    </row>
    <row r="370" spans="1:25" s="6" customFormat="1" ht="193.2">
      <c r="A370" s="6" t="s">
        <v>39</v>
      </c>
      <c r="B370" s="7" t="s">
        <v>1751</v>
      </c>
      <c r="C370" s="7" t="s">
        <v>1707</v>
      </c>
      <c r="D370" s="6" t="s">
        <v>3827</v>
      </c>
      <c r="E370" s="6" t="s">
        <v>3836</v>
      </c>
      <c r="F370" s="6" t="s">
        <v>40</v>
      </c>
      <c r="G370" s="6" t="s">
        <v>2528</v>
      </c>
      <c r="H370" s="6" t="s">
        <v>2529</v>
      </c>
      <c r="I370" s="7" t="s">
        <v>2191</v>
      </c>
      <c r="J370" s="7" t="s">
        <v>1723</v>
      </c>
      <c r="K370" s="6">
        <v>3</v>
      </c>
      <c r="L370" s="6" t="s">
        <v>43</v>
      </c>
      <c r="M370" s="8">
        <v>5408.12</v>
      </c>
      <c r="N370" s="8" t="s">
        <v>3835</v>
      </c>
      <c r="O370" s="24">
        <v>1</v>
      </c>
      <c r="P370" s="8">
        <v>5408.12</v>
      </c>
      <c r="Q370" s="8" t="s">
        <v>3835</v>
      </c>
      <c r="R370" s="6" t="s">
        <v>3830</v>
      </c>
      <c r="S370" s="6" t="s">
        <v>3831</v>
      </c>
      <c r="T370" s="10" t="s">
        <v>3837</v>
      </c>
      <c r="U370" s="10" t="s">
        <v>3838</v>
      </c>
      <c r="V370" s="6" t="s">
        <v>59</v>
      </c>
      <c r="W370" s="8">
        <v>5408.12</v>
      </c>
      <c r="X370" s="6" t="s">
        <v>3834</v>
      </c>
    </row>
    <row r="371" spans="1:25" s="6" customFormat="1" ht="193.2">
      <c r="A371" s="6" t="s">
        <v>39</v>
      </c>
      <c r="B371" s="7" t="s">
        <v>1751</v>
      </c>
      <c r="C371" s="7" t="s">
        <v>1707</v>
      </c>
      <c r="D371" s="6" t="s">
        <v>3827</v>
      </c>
      <c r="E371" s="6" t="s">
        <v>3840</v>
      </c>
      <c r="F371" s="6" t="s">
        <v>40</v>
      </c>
      <c r="G371" s="6" t="s">
        <v>2528</v>
      </c>
      <c r="H371" s="6" t="s">
        <v>2529</v>
      </c>
      <c r="I371" s="7" t="s">
        <v>2259</v>
      </c>
      <c r="J371" s="7" t="s">
        <v>2273</v>
      </c>
      <c r="K371" s="6">
        <v>4</v>
      </c>
      <c r="L371" s="6" t="s">
        <v>43</v>
      </c>
      <c r="M371" s="8">
        <v>15090.69</v>
      </c>
      <c r="N371" s="8" t="s">
        <v>3839</v>
      </c>
      <c r="O371" s="24">
        <v>1</v>
      </c>
      <c r="P371" s="8">
        <v>15090.69</v>
      </c>
      <c r="Q371" s="8" t="s">
        <v>3839</v>
      </c>
      <c r="R371" s="6" t="s">
        <v>3830</v>
      </c>
      <c r="S371" s="6" t="s">
        <v>3831</v>
      </c>
      <c r="T371" s="10" t="s">
        <v>3841</v>
      </c>
      <c r="U371" s="10" t="s">
        <v>3842</v>
      </c>
      <c r="V371" s="6" t="s">
        <v>59</v>
      </c>
      <c r="W371" s="8">
        <v>741949.08</v>
      </c>
      <c r="X371" s="6" t="s">
        <v>3834</v>
      </c>
    </row>
    <row r="372" spans="1:25" s="6" customFormat="1" ht="138">
      <c r="A372" s="6" t="s">
        <v>39</v>
      </c>
      <c r="B372" s="7" t="s">
        <v>1751</v>
      </c>
      <c r="C372" s="7" t="s">
        <v>1707</v>
      </c>
      <c r="D372" s="6" t="s">
        <v>3827</v>
      </c>
      <c r="E372" s="6" t="s">
        <v>3840</v>
      </c>
      <c r="F372" s="6" t="s">
        <v>40</v>
      </c>
      <c r="G372" s="6" t="s">
        <v>2528</v>
      </c>
      <c r="H372" s="6" t="s">
        <v>2529</v>
      </c>
      <c r="I372" s="7" t="s">
        <v>1709</v>
      </c>
      <c r="J372" s="7" t="s">
        <v>2273</v>
      </c>
      <c r="K372" s="6">
        <v>3</v>
      </c>
      <c r="L372" s="6" t="s">
        <v>43</v>
      </c>
      <c r="M372" s="8">
        <v>1951.38</v>
      </c>
      <c r="N372" s="8" t="s">
        <v>3843</v>
      </c>
      <c r="O372" s="24">
        <v>1</v>
      </c>
      <c r="P372" s="8">
        <v>1951.38</v>
      </c>
      <c r="Q372" s="8" t="s">
        <v>3843</v>
      </c>
      <c r="R372" s="6" t="s">
        <v>3830</v>
      </c>
      <c r="S372" s="6" t="s">
        <v>3831</v>
      </c>
      <c r="T372" s="10" t="s">
        <v>3841</v>
      </c>
      <c r="U372" s="10" t="s">
        <v>3844</v>
      </c>
      <c r="V372" s="6" t="s">
        <v>59</v>
      </c>
      <c r="W372" s="8">
        <v>1951.38</v>
      </c>
      <c r="X372" s="6" t="s">
        <v>3834</v>
      </c>
    </row>
    <row r="373" spans="1:25" s="20" customFormat="1" ht="276">
      <c r="A373" s="6" t="s">
        <v>39</v>
      </c>
      <c r="B373" s="7" t="s">
        <v>1751</v>
      </c>
      <c r="C373" s="7" t="s">
        <v>1974</v>
      </c>
      <c r="D373" s="6" t="s">
        <v>1975</v>
      </c>
      <c r="E373" s="6" t="s">
        <v>1976</v>
      </c>
      <c r="F373" s="6" t="s">
        <v>1568</v>
      </c>
      <c r="G373" s="6" t="s">
        <v>55</v>
      </c>
      <c r="H373" s="6" t="s">
        <v>158</v>
      </c>
      <c r="I373" s="7" t="s">
        <v>1496</v>
      </c>
      <c r="J373" s="7" t="s">
        <v>1496</v>
      </c>
      <c r="K373" s="6" t="s">
        <v>1871</v>
      </c>
      <c r="L373" s="6" t="s">
        <v>1589</v>
      </c>
      <c r="M373" s="8">
        <v>560</v>
      </c>
      <c r="N373" s="6" t="s">
        <v>1977</v>
      </c>
      <c r="O373" s="24">
        <v>1</v>
      </c>
      <c r="P373" s="8">
        <v>560</v>
      </c>
      <c r="Q373" s="6" t="s">
        <v>1977</v>
      </c>
      <c r="R373" s="6" t="s">
        <v>1560</v>
      </c>
      <c r="S373" s="6" t="s">
        <v>1699</v>
      </c>
      <c r="T373" s="10" t="s">
        <v>1978</v>
      </c>
      <c r="U373" s="10" t="s">
        <v>1959</v>
      </c>
      <c r="V373" s="6" t="s">
        <v>59</v>
      </c>
      <c r="W373" s="21">
        <v>560</v>
      </c>
      <c r="X373" s="20" t="s">
        <v>74</v>
      </c>
    </row>
    <row r="374" spans="1:25" s="6" customFormat="1" ht="248.4">
      <c r="A374" s="6" t="s">
        <v>39</v>
      </c>
      <c r="B374" s="6">
        <v>17</v>
      </c>
      <c r="C374" s="7" t="s">
        <v>1979</v>
      </c>
      <c r="D374" s="6" t="s">
        <v>1980</v>
      </c>
      <c r="E374" s="6" t="s">
        <v>1981</v>
      </c>
      <c r="F374" s="6" t="s">
        <v>1278</v>
      </c>
      <c r="G374" s="6" t="s">
        <v>55</v>
      </c>
      <c r="H374" s="6" t="s">
        <v>158</v>
      </c>
      <c r="I374" s="7" t="s">
        <v>1496</v>
      </c>
      <c r="J374" s="7" t="s">
        <v>1982</v>
      </c>
      <c r="K374" s="6">
        <v>6</v>
      </c>
      <c r="L374" s="6" t="s">
        <v>43</v>
      </c>
      <c r="M374" s="8">
        <v>16890</v>
      </c>
      <c r="N374" s="6" t="s">
        <v>1983</v>
      </c>
      <c r="O374" s="24">
        <v>1</v>
      </c>
      <c r="P374" s="8">
        <v>16890</v>
      </c>
      <c r="Q374" s="6" t="s">
        <v>1983</v>
      </c>
      <c r="R374" s="6" t="s">
        <v>1509</v>
      </c>
      <c r="S374" s="6" t="s">
        <v>1807</v>
      </c>
      <c r="T374" s="10" t="s">
        <v>1984</v>
      </c>
      <c r="U374" s="10" t="s">
        <v>1985</v>
      </c>
      <c r="V374" s="6" t="s">
        <v>59</v>
      </c>
      <c r="W374" s="8">
        <v>16890</v>
      </c>
      <c r="X374" s="6" t="s">
        <v>74</v>
      </c>
    </row>
    <row r="375" spans="1:25" s="6" customFormat="1" ht="289.8">
      <c r="A375" s="6" t="s">
        <v>39</v>
      </c>
      <c r="B375" s="6">
        <v>17</v>
      </c>
      <c r="C375" s="7" t="s">
        <v>1986</v>
      </c>
      <c r="D375" s="6" t="s">
        <v>1987</v>
      </c>
      <c r="E375" s="6" t="s">
        <v>1988</v>
      </c>
      <c r="F375" s="6" t="s">
        <v>1278</v>
      </c>
      <c r="G375" s="6" t="s">
        <v>55</v>
      </c>
      <c r="H375" s="6" t="s">
        <v>158</v>
      </c>
      <c r="I375" s="7" t="s">
        <v>1792</v>
      </c>
      <c r="J375" s="7" t="s">
        <v>1989</v>
      </c>
      <c r="K375" s="6">
        <v>36</v>
      </c>
      <c r="L375" s="6" t="s">
        <v>43</v>
      </c>
      <c r="M375" s="8">
        <v>144320</v>
      </c>
      <c r="N375" s="6" t="s">
        <v>1990</v>
      </c>
      <c r="O375" s="24">
        <v>1</v>
      </c>
      <c r="P375" s="8">
        <v>144320</v>
      </c>
      <c r="Q375" s="6" t="s">
        <v>1990</v>
      </c>
      <c r="R375" s="6" t="s">
        <v>1509</v>
      </c>
      <c r="S375" s="6" t="s">
        <v>1807</v>
      </c>
      <c r="T375" s="10" t="s">
        <v>1991</v>
      </c>
      <c r="U375" s="10" t="s">
        <v>1992</v>
      </c>
      <c r="V375" s="6" t="s">
        <v>59</v>
      </c>
      <c r="W375" s="8">
        <v>144320</v>
      </c>
      <c r="X375" s="6" t="s">
        <v>58</v>
      </c>
    </row>
    <row r="376" spans="1:25" s="6" customFormat="1" ht="262.2">
      <c r="A376" s="6" t="s">
        <v>39</v>
      </c>
      <c r="B376" s="6">
        <v>17</v>
      </c>
      <c r="C376" s="7" t="s">
        <v>1993</v>
      </c>
      <c r="D376" s="6" t="s">
        <v>1994</v>
      </c>
      <c r="E376" s="6" t="s">
        <v>1995</v>
      </c>
      <c r="F376" s="6" t="s">
        <v>1278</v>
      </c>
      <c r="G376" s="6" t="s">
        <v>55</v>
      </c>
      <c r="H376" s="6" t="s">
        <v>158</v>
      </c>
      <c r="I376" s="7" t="s">
        <v>1378</v>
      </c>
      <c r="J376" s="7" t="s">
        <v>1996</v>
      </c>
      <c r="K376" s="6">
        <v>7</v>
      </c>
      <c r="L376" s="6" t="s">
        <v>289</v>
      </c>
      <c r="M376" s="8">
        <v>46264.5</v>
      </c>
      <c r="N376" s="6" t="s">
        <v>2001</v>
      </c>
      <c r="O376" s="24">
        <v>1</v>
      </c>
      <c r="P376" s="8">
        <v>36277.25</v>
      </c>
      <c r="Q376" s="6" t="s">
        <v>2002</v>
      </c>
      <c r="R376" s="6" t="s">
        <v>1997</v>
      </c>
      <c r="S376" s="6" t="s">
        <v>1998</v>
      </c>
      <c r="T376" s="10" t="s">
        <v>1999</v>
      </c>
      <c r="U376" s="10" t="s">
        <v>2000</v>
      </c>
      <c r="W376" s="8">
        <v>46264.5</v>
      </c>
      <c r="X376" s="6" t="s">
        <v>74</v>
      </c>
    </row>
    <row r="377" spans="1:25" s="43" customFormat="1" ht="193.2">
      <c r="A377" s="37" t="s">
        <v>39</v>
      </c>
      <c r="B377" s="37">
        <v>17</v>
      </c>
      <c r="C377" s="38" t="s">
        <v>3702</v>
      </c>
      <c r="D377" s="37" t="s">
        <v>3703</v>
      </c>
      <c r="E377" s="37" t="s">
        <v>3704</v>
      </c>
      <c r="F377" s="52" t="s">
        <v>2880</v>
      </c>
      <c r="G377" s="37" t="s">
        <v>497</v>
      </c>
      <c r="H377" s="37" t="s">
        <v>3705</v>
      </c>
      <c r="I377" s="38" t="s">
        <v>1496</v>
      </c>
      <c r="J377" s="38" t="s">
        <v>1507</v>
      </c>
      <c r="K377" s="37">
        <v>8</v>
      </c>
      <c r="L377" s="37" t="s">
        <v>1576</v>
      </c>
      <c r="M377" s="39">
        <v>44000</v>
      </c>
      <c r="N377" s="37" t="s">
        <v>3706</v>
      </c>
      <c r="O377" s="40">
        <v>1</v>
      </c>
      <c r="P377" s="39">
        <v>44000</v>
      </c>
      <c r="Q377" s="37" t="s">
        <v>3706</v>
      </c>
      <c r="R377" s="37" t="s">
        <v>3707</v>
      </c>
      <c r="S377" s="37" t="s">
        <v>3708</v>
      </c>
      <c r="T377" s="41" t="s">
        <v>3709</v>
      </c>
      <c r="U377" s="41" t="s">
        <v>3710</v>
      </c>
      <c r="V377" s="37" t="s">
        <v>59</v>
      </c>
      <c r="W377" s="39">
        <v>44000</v>
      </c>
      <c r="X377" s="37" t="s">
        <v>74</v>
      </c>
      <c r="Y377" s="37"/>
    </row>
    <row r="378" spans="1:25" s="6" customFormat="1" ht="96.6">
      <c r="A378" s="6" t="s">
        <v>39</v>
      </c>
      <c r="B378" s="6">
        <v>17</v>
      </c>
      <c r="C378" s="7" t="s">
        <v>2003</v>
      </c>
      <c r="D378" s="6" t="s">
        <v>2004</v>
      </c>
      <c r="E378" s="6" t="s">
        <v>2005</v>
      </c>
      <c r="F378" s="6" t="s">
        <v>1568</v>
      </c>
      <c r="G378" s="6" t="s">
        <v>55</v>
      </c>
      <c r="H378" s="6" t="s">
        <v>137</v>
      </c>
      <c r="I378" s="7" t="s">
        <v>1792</v>
      </c>
      <c r="J378" s="7" t="s">
        <v>1775</v>
      </c>
      <c r="K378" s="6">
        <v>12</v>
      </c>
      <c r="L378" s="6" t="s">
        <v>1589</v>
      </c>
      <c r="M378" s="8">
        <v>9600</v>
      </c>
      <c r="N378" s="6" t="s">
        <v>2006</v>
      </c>
      <c r="O378" s="24">
        <v>1</v>
      </c>
      <c r="P378" s="8">
        <v>9600</v>
      </c>
      <c r="Q378" s="6" t="s">
        <v>2006</v>
      </c>
      <c r="R378" s="6" t="s">
        <v>2007</v>
      </c>
      <c r="S378" s="6" t="s">
        <v>2008</v>
      </c>
      <c r="T378" s="10" t="s">
        <v>2009</v>
      </c>
      <c r="U378" s="10" t="s">
        <v>2010</v>
      </c>
      <c r="V378" s="6" t="s">
        <v>59</v>
      </c>
      <c r="W378" s="8">
        <v>61820</v>
      </c>
      <c r="X378" s="6" t="s">
        <v>74</v>
      </c>
    </row>
    <row r="379" spans="1:25" s="6" customFormat="1" ht="220.8">
      <c r="A379" s="6" t="s">
        <v>39</v>
      </c>
      <c r="B379" s="7" t="s">
        <v>1751</v>
      </c>
      <c r="C379" s="7" t="s">
        <v>2011</v>
      </c>
      <c r="D379" s="6" t="s">
        <v>2012</v>
      </c>
      <c r="E379" s="6" t="s">
        <v>2013</v>
      </c>
      <c r="F379" s="6" t="s">
        <v>40</v>
      </c>
      <c r="G379" s="6" t="s">
        <v>55</v>
      </c>
      <c r="H379" s="6" t="s">
        <v>433</v>
      </c>
      <c r="I379" s="7" t="s">
        <v>1792</v>
      </c>
      <c r="J379" s="7" t="s">
        <v>1792</v>
      </c>
      <c r="K379" s="6" t="s">
        <v>1199</v>
      </c>
      <c r="L379" s="6" t="s">
        <v>43</v>
      </c>
      <c r="M379" s="8">
        <v>5475</v>
      </c>
      <c r="N379" s="6" t="s">
        <v>2014</v>
      </c>
      <c r="O379" s="24">
        <v>1</v>
      </c>
      <c r="P379" s="8">
        <v>5475</v>
      </c>
      <c r="Q379" s="6" t="s">
        <v>2014</v>
      </c>
      <c r="R379" s="6" t="s">
        <v>291</v>
      </c>
      <c r="S379" s="6" t="s">
        <v>1460</v>
      </c>
      <c r="T379" s="10" t="s">
        <v>2015</v>
      </c>
      <c r="U379" s="10" t="s">
        <v>2016</v>
      </c>
      <c r="V379" s="6" t="s">
        <v>59</v>
      </c>
      <c r="W379" s="8">
        <v>2995000</v>
      </c>
      <c r="X379" s="6" t="s">
        <v>74</v>
      </c>
    </row>
    <row r="380" spans="1:25" s="6" customFormat="1" ht="276">
      <c r="A380" s="6" t="s">
        <v>39</v>
      </c>
      <c r="B380" s="6">
        <v>17</v>
      </c>
      <c r="C380" s="7" t="s">
        <v>2017</v>
      </c>
      <c r="D380" s="6" t="s">
        <v>2018</v>
      </c>
      <c r="E380" s="6" t="s">
        <v>2019</v>
      </c>
      <c r="F380" s="6" t="s">
        <v>1568</v>
      </c>
      <c r="G380" s="6" t="s">
        <v>55</v>
      </c>
      <c r="H380" s="6" t="s">
        <v>325</v>
      </c>
      <c r="I380" s="7" t="s">
        <v>1792</v>
      </c>
      <c r="J380" s="7" t="s">
        <v>1792</v>
      </c>
      <c r="K380" s="6" t="s">
        <v>1871</v>
      </c>
      <c r="L380" s="6" t="s">
        <v>1589</v>
      </c>
      <c r="M380" s="8">
        <v>560</v>
      </c>
      <c r="N380" s="6" t="s">
        <v>2020</v>
      </c>
      <c r="O380" s="24">
        <v>1</v>
      </c>
      <c r="P380" s="8">
        <v>560</v>
      </c>
      <c r="Q380" s="6" t="s">
        <v>2020</v>
      </c>
      <c r="R380" s="6" t="s">
        <v>1560</v>
      </c>
      <c r="S380" s="6" t="s">
        <v>1699</v>
      </c>
      <c r="T380" s="10" t="s">
        <v>2021</v>
      </c>
      <c r="U380" s="10" t="s">
        <v>1959</v>
      </c>
      <c r="V380" s="6" t="s">
        <v>59</v>
      </c>
      <c r="W380" s="8">
        <v>3000</v>
      </c>
      <c r="X380" s="6" t="s">
        <v>74</v>
      </c>
    </row>
    <row r="381" spans="1:25" s="6" customFormat="1" ht="262.2">
      <c r="A381" s="6" t="s">
        <v>39</v>
      </c>
      <c r="B381" s="7" t="s">
        <v>1751</v>
      </c>
      <c r="C381" s="7" t="s">
        <v>2022</v>
      </c>
      <c r="D381" s="6" t="s">
        <v>2023</v>
      </c>
      <c r="E381" s="6" t="s">
        <v>2024</v>
      </c>
      <c r="F381" s="6" t="s">
        <v>40</v>
      </c>
      <c r="G381" s="6" t="s">
        <v>55</v>
      </c>
      <c r="H381" s="6" t="s">
        <v>158</v>
      </c>
      <c r="I381" s="7" t="s">
        <v>1792</v>
      </c>
      <c r="J381" s="7" t="s">
        <v>1378</v>
      </c>
      <c r="K381" s="6" t="s">
        <v>1199</v>
      </c>
      <c r="L381" s="6" t="s">
        <v>43</v>
      </c>
      <c r="M381" s="8">
        <v>4175</v>
      </c>
      <c r="N381" s="6" t="s">
        <v>2025</v>
      </c>
      <c r="O381" s="24">
        <v>1</v>
      </c>
      <c r="P381" s="8">
        <v>4175</v>
      </c>
      <c r="Q381" s="6" t="s">
        <v>2025</v>
      </c>
      <c r="R381" s="6" t="s">
        <v>291</v>
      </c>
      <c r="S381" s="6" t="s">
        <v>1328</v>
      </c>
      <c r="T381" s="10" t="s">
        <v>2026</v>
      </c>
      <c r="U381" s="10" t="s">
        <v>2027</v>
      </c>
      <c r="V381" s="6" t="s">
        <v>59</v>
      </c>
      <c r="W381" s="8">
        <v>59147894</v>
      </c>
      <c r="X381" s="6" t="s">
        <v>74</v>
      </c>
    </row>
    <row r="382" spans="1:25" s="6" customFormat="1" ht="289.8">
      <c r="A382" s="6" t="s">
        <v>39</v>
      </c>
      <c r="B382" s="6">
        <v>17</v>
      </c>
      <c r="C382" s="7" t="s">
        <v>2028</v>
      </c>
      <c r="D382" s="6" t="s">
        <v>2029</v>
      </c>
      <c r="E382" s="6" t="s">
        <v>2030</v>
      </c>
      <c r="F382" s="6" t="s">
        <v>1568</v>
      </c>
      <c r="G382" s="6" t="s">
        <v>55</v>
      </c>
      <c r="H382" s="6" t="s">
        <v>2031</v>
      </c>
      <c r="I382" s="7" t="s">
        <v>1378</v>
      </c>
      <c r="J382" s="7" t="s">
        <v>1378</v>
      </c>
      <c r="K382" s="6" t="s">
        <v>1860</v>
      </c>
      <c r="L382" s="6" t="s">
        <v>1589</v>
      </c>
      <c r="M382" s="8">
        <v>3968</v>
      </c>
      <c r="N382" s="6" t="s">
        <v>2032</v>
      </c>
      <c r="O382" s="24">
        <v>1</v>
      </c>
      <c r="P382" s="8">
        <v>3968</v>
      </c>
      <c r="Q382" s="6" t="s">
        <v>2032</v>
      </c>
      <c r="R382" s="6" t="s">
        <v>1560</v>
      </c>
      <c r="S382" s="6" t="s">
        <v>1564</v>
      </c>
      <c r="T382" s="10" t="s">
        <v>2033</v>
      </c>
      <c r="U382" s="10" t="s">
        <v>2034</v>
      </c>
      <c r="V382" s="6" t="s">
        <v>59</v>
      </c>
      <c r="W382" s="8">
        <v>21799.72</v>
      </c>
      <c r="X382" s="6" t="s">
        <v>74</v>
      </c>
    </row>
    <row r="383" spans="1:25" s="6" customFormat="1" ht="289.8">
      <c r="A383" s="6" t="s">
        <v>39</v>
      </c>
      <c r="B383" s="6">
        <v>17</v>
      </c>
      <c r="C383" s="7" t="s">
        <v>2035</v>
      </c>
      <c r="D383" s="6" t="s">
        <v>2036</v>
      </c>
      <c r="E383" s="6" t="s">
        <v>2037</v>
      </c>
      <c r="F383" s="6" t="s">
        <v>1568</v>
      </c>
      <c r="G383" s="6" t="s">
        <v>55</v>
      </c>
      <c r="H383" s="6" t="s">
        <v>2038</v>
      </c>
      <c r="I383" s="7" t="s">
        <v>1378</v>
      </c>
      <c r="J383" s="7" t="s">
        <v>1713</v>
      </c>
      <c r="K383" s="6">
        <v>1</v>
      </c>
      <c r="L383" s="6" t="s">
        <v>1589</v>
      </c>
      <c r="M383" s="8">
        <v>3968</v>
      </c>
      <c r="N383" s="6" t="s">
        <v>2032</v>
      </c>
      <c r="O383" s="24">
        <v>1</v>
      </c>
      <c r="P383" s="8">
        <v>3968</v>
      </c>
      <c r="Q383" s="6" t="s">
        <v>2032</v>
      </c>
      <c r="R383" s="6" t="s">
        <v>1560</v>
      </c>
      <c r="S383" s="6" t="s">
        <v>1564</v>
      </c>
      <c r="T383" s="10" t="s">
        <v>2039</v>
      </c>
      <c r="U383" s="10" t="s">
        <v>2034</v>
      </c>
      <c r="V383" s="6" t="s">
        <v>59</v>
      </c>
      <c r="W383" s="8">
        <v>24749.93</v>
      </c>
      <c r="X383" s="6" t="s">
        <v>74</v>
      </c>
    </row>
    <row r="384" spans="1:25" s="6" customFormat="1" ht="289.8">
      <c r="A384" s="6" t="s">
        <v>39</v>
      </c>
      <c r="B384" s="7" t="s">
        <v>1751</v>
      </c>
      <c r="C384" s="7" t="s">
        <v>2040</v>
      </c>
      <c r="D384" s="6" t="s">
        <v>2041</v>
      </c>
      <c r="E384" s="6" t="s">
        <v>2042</v>
      </c>
      <c r="F384" s="6" t="s">
        <v>40</v>
      </c>
      <c r="G384" s="6" t="s">
        <v>55</v>
      </c>
      <c r="H384" s="6" t="s">
        <v>2043</v>
      </c>
      <c r="I384" s="7" t="s">
        <v>1713</v>
      </c>
      <c r="J384" s="7" t="s">
        <v>1982</v>
      </c>
      <c r="K384" s="6">
        <v>3</v>
      </c>
      <c r="L384" s="6" t="s">
        <v>43</v>
      </c>
      <c r="M384" s="8">
        <v>9128</v>
      </c>
      <c r="N384" s="6" t="s">
        <v>2044</v>
      </c>
      <c r="O384" s="24">
        <v>1</v>
      </c>
      <c r="P384" s="8">
        <v>9128</v>
      </c>
      <c r="Q384" s="6" t="s">
        <v>2044</v>
      </c>
      <c r="R384" s="6" t="s">
        <v>2045</v>
      </c>
      <c r="S384" s="6" t="s">
        <v>2046</v>
      </c>
      <c r="T384" s="10" t="s">
        <v>2047</v>
      </c>
      <c r="U384" s="10" t="s">
        <v>2048</v>
      </c>
      <c r="V384" s="6" t="s">
        <v>59</v>
      </c>
      <c r="W384" s="8">
        <v>9128</v>
      </c>
      <c r="X384" s="6" t="s">
        <v>74</v>
      </c>
    </row>
    <row r="385" spans="1:25" s="6" customFormat="1" ht="276">
      <c r="A385" s="6" t="s">
        <v>39</v>
      </c>
      <c r="B385" s="6">
        <v>17</v>
      </c>
      <c r="C385" s="7" t="s">
        <v>2049</v>
      </c>
      <c r="D385" s="6" t="s">
        <v>1955</v>
      </c>
      <c r="E385" s="6" t="s">
        <v>2050</v>
      </c>
      <c r="F385" s="6" t="s">
        <v>1568</v>
      </c>
      <c r="G385" s="6" t="s">
        <v>55</v>
      </c>
      <c r="H385" s="6" t="s">
        <v>158</v>
      </c>
      <c r="I385" s="7" t="s">
        <v>1378</v>
      </c>
      <c r="J385" s="7" t="s">
        <v>1378</v>
      </c>
      <c r="K385" s="6" t="s">
        <v>1562</v>
      </c>
      <c r="L385" s="6" t="s">
        <v>1589</v>
      </c>
      <c r="M385" s="8">
        <v>560</v>
      </c>
      <c r="N385" s="6" t="s">
        <v>2020</v>
      </c>
      <c r="O385" s="24">
        <v>1</v>
      </c>
      <c r="P385" s="8">
        <v>560</v>
      </c>
      <c r="Q385" s="6" t="s">
        <v>2020</v>
      </c>
      <c r="R385" s="6" t="s">
        <v>1560</v>
      </c>
      <c r="S385" s="6" t="s">
        <v>1699</v>
      </c>
      <c r="T385" s="10" t="s">
        <v>2051</v>
      </c>
      <c r="U385" s="10" t="s">
        <v>1959</v>
      </c>
      <c r="V385" s="6" t="s">
        <v>59</v>
      </c>
      <c r="W385" s="8">
        <v>560</v>
      </c>
      <c r="X385" s="6" t="s">
        <v>74</v>
      </c>
    </row>
    <row r="386" spans="1:25" s="6" customFormat="1" ht="276">
      <c r="A386" s="6" t="s">
        <v>39</v>
      </c>
      <c r="B386" s="6">
        <v>17</v>
      </c>
      <c r="C386" s="7" t="s">
        <v>2052</v>
      </c>
      <c r="D386" s="6" t="s">
        <v>2053</v>
      </c>
      <c r="E386" s="6" t="s">
        <v>2054</v>
      </c>
      <c r="F386" s="6" t="s">
        <v>1568</v>
      </c>
      <c r="G386" s="6" t="s">
        <v>55</v>
      </c>
      <c r="H386" s="6" t="s">
        <v>158</v>
      </c>
      <c r="I386" s="7" t="s">
        <v>1713</v>
      </c>
      <c r="J386" s="7" t="s">
        <v>1713</v>
      </c>
      <c r="K386" s="6" t="s">
        <v>1871</v>
      </c>
      <c r="L386" s="6" t="s">
        <v>1589</v>
      </c>
      <c r="M386" s="8">
        <v>560</v>
      </c>
      <c r="N386" s="6" t="s">
        <v>2020</v>
      </c>
      <c r="O386" s="24">
        <v>1</v>
      </c>
      <c r="P386" s="8">
        <v>560</v>
      </c>
      <c r="Q386" s="6" t="s">
        <v>2020</v>
      </c>
      <c r="R386" s="6" t="s">
        <v>1560</v>
      </c>
      <c r="S386" s="6" t="s">
        <v>1699</v>
      </c>
      <c r="T386" s="10" t="s">
        <v>2055</v>
      </c>
      <c r="U386" s="10" t="s">
        <v>1959</v>
      </c>
      <c r="V386" s="6" t="s">
        <v>59</v>
      </c>
      <c r="W386" s="8">
        <v>3000</v>
      </c>
      <c r="X386" s="6" t="s">
        <v>74</v>
      </c>
    </row>
    <row r="387" spans="1:25" s="6" customFormat="1" ht="358.8">
      <c r="A387" s="6" t="s">
        <v>39</v>
      </c>
      <c r="B387" s="6">
        <v>17</v>
      </c>
      <c r="C387" s="7" t="s">
        <v>2056</v>
      </c>
      <c r="D387" s="6" t="s">
        <v>2057</v>
      </c>
      <c r="E387" s="6" t="s">
        <v>2058</v>
      </c>
      <c r="F387" s="6" t="s">
        <v>1278</v>
      </c>
      <c r="G387" s="6" t="s">
        <v>55</v>
      </c>
      <c r="H387" s="6" t="s">
        <v>158</v>
      </c>
      <c r="I387" s="7" t="s">
        <v>1716</v>
      </c>
      <c r="J387" s="7" t="s">
        <v>2059</v>
      </c>
      <c r="K387" s="6">
        <v>12</v>
      </c>
      <c r="L387" s="6" t="s">
        <v>43</v>
      </c>
      <c r="M387" s="8">
        <v>102900</v>
      </c>
      <c r="N387" s="6" t="s">
        <v>2060</v>
      </c>
      <c r="O387" s="24">
        <v>1</v>
      </c>
      <c r="P387" s="8">
        <v>102900</v>
      </c>
      <c r="Q387" s="6" t="s">
        <v>2060</v>
      </c>
      <c r="R387" s="6" t="s">
        <v>1509</v>
      </c>
      <c r="S387" s="6" t="s">
        <v>2061</v>
      </c>
      <c r="T387" s="10" t="s">
        <v>2062</v>
      </c>
      <c r="U387" s="10" t="s">
        <v>2063</v>
      </c>
      <c r="V387" s="6" t="s">
        <v>59</v>
      </c>
      <c r="W387" s="8">
        <v>102900</v>
      </c>
      <c r="X387" s="6" t="s">
        <v>74</v>
      </c>
    </row>
    <row r="388" spans="1:25" s="6" customFormat="1" ht="276">
      <c r="A388" s="6" t="s">
        <v>39</v>
      </c>
      <c r="B388" s="6">
        <v>17</v>
      </c>
      <c r="C388" s="7" t="s">
        <v>2064</v>
      </c>
      <c r="D388" s="6" t="s">
        <v>2065</v>
      </c>
      <c r="E388" s="6" t="s">
        <v>2066</v>
      </c>
      <c r="F388" s="6" t="s">
        <v>1568</v>
      </c>
      <c r="G388" s="6" t="s">
        <v>55</v>
      </c>
      <c r="H388" s="6" t="s">
        <v>158</v>
      </c>
      <c r="I388" s="7" t="s">
        <v>1713</v>
      </c>
      <c r="J388" s="7" t="s">
        <v>1713</v>
      </c>
      <c r="K388" s="6" t="s">
        <v>1871</v>
      </c>
      <c r="L388" s="6" t="s">
        <v>1589</v>
      </c>
      <c r="M388" s="8">
        <v>560</v>
      </c>
      <c r="N388" s="6" t="s">
        <v>2020</v>
      </c>
      <c r="O388" s="24">
        <v>1</v>
      </c>
      <c r="P388" s="8">
        <v>560</v>
      </c>
      <c r="Q388" s="6" t="s">
        <v>2020</v>
      </c>
      <c r="R388" s="6" t="s">
        <v>1560</v>
      </c>
      <c r="S388" s="6" t="s">
        <v>1699</v>
      </c>
      <c r="T388" s="10" t="s">
        <v>2067</v>
      </c>
      <c r="U388" s="10" t="s">
        <v>1959</v>
      </c>
      <c r="V388" s="6" t="s">
        <v>59</v>
      </c>
      <c r="W388" s="8">
        <v>3000</v>
      </c>
      <c r="X388" s="6" t="s">
        <v>74</v>
      </c>
    </row>
    <row r="389" spans="1:25" s="6" customFormat="1" ht="220.8">
      <c r="A389" s="6" t="s">
        <v>39</v>
      </c>
      <c r="B389" s="7" t="s">
        <v>1751</v>
      </c>
      <c r="C389" s="7" t="s">
        <v>2068</v>
      </c>
      <c r="D389" s="6" t="s">
        <v>2069</v>
      </c>
      <c r="E389" s="6" t="s">
        <v>2070</v>
      </c>
      <c r="F389" s="6" t="s">
        <v>40</v>
      </c>
      <c r="G389" s="6" t="s">
        <v>55</v>
      </c>
      <c r="H389" s="6" t="s">
        <v>1685</v>
      </c>
      <c r="I389" s="7" t="s">
        <v>1716</v>
      </c>
      <c r="J389" s="7" t="s">
        <v>1716</v>
      </c>
      <c r="K389" s="6" t="s">
        <v>1199</v>
      </c>
      <c r="L389" s="6" t="s">
        <v>43</v>
      </c>
      <c r="M389" s="8">
        <v>3500</v>
      </c>
      <c r="N389" s="6" t="s">
        <v>2071</v>
      </c>
      <c r="O389" s="24">
        <v>1</v>
      </c>
      <c r="P389" s="8">
        <v>3500</v>
      </c>
      <c r="Q389" s="6" t="s">
        <v>2071</v>
      </c>
      <c r="R389" s="6" t="s">
        <v>715</v>
      </c>
      <c r="S389" s="6" t="s">
        <v>1919</v>
      </c>
      <c r="T389" s="10" t="s">
        <v>2072</v>
      </c>
      <c r="U389" s="10" t="s">
        <v>1687</v>
      </c>
      <c r="V389" s="6" t="s">
        <v>59</v>
      </c>
      <c r="W389" s="8">
        <v>82820</v>
      </c>
      <c r="X389" s="6" t="s">
        <v>74</v>
      </c>
    </row>
    <row r="390" spans="1:25" s="6" customFormat="1" ht="262.2">
      <c r="A390" s="6" t="s">
        <v>39</v>
      </c>
      <c r="B390" s="7" t="s">
        <v>2074</v>
      </c>
      <c r="C390" s="7" t="s">
        <v>80</v>
      </c>
      <c r="D390" s="6" t="s">
        <v>2075</v>
      </c>
      <c r="E390" s="6" t="s">
        <v>2076</v>
      </c>
      <c r="F390" s="6" t="s">
        <v>40</v>
      </c>
      <c r="G390" s="6" t="s">
        <v>55</v>
      </c>
      <c r="H390" s="6" t="s">
        <v>613</v>
      </c>
      <c r="I390" s="7" t="s">
        <v>1716</v>
      </c>
      <c r="J390" s="7" t="s">
        <v>1716</v>
      </c>
      <c r="K390" s="6" t="s">
        <v>1199</v>
      </c>
      <c r="L390" s="6" t="s">
        <v>43</v>
      </c>
      <c r="M390" s="8">
        <v>9900</v>
      </c>
      <c r="N390" s="6" t="s">
        <v>2077</v>
      </c>
      <c r="O390" s="24">
        <v>1</v>
      </c>
      <c r="P390" s="8">
        <v>9900</v>
      </c>
      <c r="Q390" s="6" t="s">
        <v>2077</v>
      </c>
      <c r="R390" s="6" t="s">
        <v>291</v>
      </c>
      <c r="S390" s="6" t="s">
        <v>1328</v>
      </c>
      <c r="T390" s="10" t="s">
        <v>2078</v>
      </c>
      <c r="U390" s="10" t="s">
        <v>2079</v>
      </c>
      <c r="V390" s="6" t="s">
        <v>59</v>
      </c>
      <c r="W390" s="8">
        <v>34302441.109999999</v>
      </c>
      <c r="X390" s="6" t="s">
        <v>74</v>
      </c>
    </row>
    <row r="391" spans="1:25" s="6" customFormat="1" ht="276">
      <c r="A391" s="6" t="s">
        <v>39</v>
      </c>
      <c r="B391" s="6">
        <v>18</v>
      </c>
      <c r="C391" s="7" t="s">
        <v>93</v>
      </c>
      <c r="D391" s="6" t="s">
        <v>2080</v>
      </c>
      <c r="E391" s="6" t="s">
        <v>2081</v>
      </c>
      <c r="F391" s="6" t="s">
        <v>1568</v>
      </c>
      <c r="G391" s="6" t="s">
        <v>55</v>
      </c>
      <c r="H391" s="6" t="s">
        <v>158</v>
      </c>
      <c r="I391" s="7" t="s">
        <v>1716</v>
      </c>
      <c r="J391" s="7" t="s">
        <v>1716</v>
      </c>
      <c r="K391" s="6" t="s">
        <v>1812</v>
      </c>
      <c r="L391" s="6" t="s">
        <v>1589</v>
      </c>
      <c r="M391" s="8">
        <v>390</v>
      </c>
      <c r="N391" s="6" t="s">
        <v>2082</v>
      </c>
      <c r="O391" s="24">
        <v>1</v>
      </c>
      <c r="P391" s="8">
        <v>390</v>
      </c>
      <c r="Q391" s="6" t="s">
        <v>2082</v>
      </c>
      <c r="R391" s="6" t="s">
        <v>1560</v>
      </c>
      <c r="S391" s="6" t="s">
        <v>1699</v>
      </c>
      <c r="T391" s="10" t="s">
        <v>2083</v>
      </c>
      <c r="U391" s="10" t="s">
        <v>2084</v>
      </c>
      <c r="V391" s="6" t="s">
        <v>59</v>
      </c>
      <c r="W391" s="8">
        <v>390</v>
      </c>
      <c r="X391" s="6" t="s">
        <v>74</v>
      </c>
    </row>
    <row r="392" spans="1:25" s="6" customFormat="1" ht="331.2">
      <c r="A392" s="6" t="s">
        <v>39</v>
      </c>
      <c r="B392" s="6">
        <v>18</v>
      </c>
      <c r="C392" s="7" t="s">
        <v>104</v>
      </c>
      <c r="D392" s="6" t="s">
        <v>2085</v>
      </c>
      <c r="E392" s="6" t="s">
        <v>2086</v>
      </c>
      <c r="F392" s="6" t="s">
        <v>1568</v>
      </c>
      <c r="G392" s="6" t="s">
        <v>55</v>
      </c>
      <c r="H392" s="6" t="s">
        <v>650</v>
      </c>
      <c r="I392" s="7" t="s">
        <v>1716</v>
      </c>
      <c r="J392" s="7" t="s">
        <v>1716</v>
      </c>
      <c r="K392" s="6" t="s">
        <v>2087</v>
      </c>
      <c r="L392" s="6" t="s">
        <v>1589</v>
      </c>
      <c r="M392" s="8">
        <v>690</v>
      </c>
      <c r="N392" s="6" t="s">
        <v>2088</v>
      </c>
      <c r="O392" s="24">
        <v>1</v>
      </c>
      <c r="P392" s="8">
        <v>690</v>
      </c>
      <c r="Q392" s="6" t="s">
        <v>2088</v>
      </c>
      <c r="R392" s="6" t="s">
        <v>1560</v>
      </c>
      <c r="S392" s="6" t="s">
        <v>2089</v>
      </c>
      <c r="T392" s="10" t="s">
        <v>2090</v>
      </c>
      <c r="U392" s="10" t="s">
        <v>2091</v>
      </c>
      <c r="V392" s="6" t="s">
        <v>59</v>
      </c>
      <c r="W392" s="8">
        <v>18406</v>
      </c>
      <c r="X392" s="6" t="s">
        <v>74</v>
      </c>
    </row>
    <row r="393" spans="1:25" s="6" customFormat="1" ht="276">
      <c r="A393" s="6" t="s">
        <v>39</v>
      </c>
      <c r="B393" s="6">
        <v>18</v>
      </c>
      <c r="C393" s="7" t="s">
        <v>113</v>
      </c>
      <c r="D393" s="6" t="s">
        <v>2092</v>
      </c>
      <c r="E393" s="6" t="s">
        <v>2093</v>
      </c>
      <c r="F393" s="6" t="s">
        <v>1278</v>
      </c>
      <c r="G393" s="6" t="s">
        <v>55</v>
      </c>
      <c r="H393" s="6" t="s">
        <v>158</v>
      </c>
      <c r="I393" s="7" t="s">
        <v>1716</v>
      </c>
      <c r="J393" s="7" t="s">
        <v>1901</v>
      </c>
      <c r="K393" s="6">
        <v>18</v>
      </c>
      <c r="L393" s="6" t="s">
        <v>43</v>
      </c>
      <c r="M393" s="8">
        <v>89995</v>
      </c>
      <c r="N393" s="6" t="s">
        <v>2094</v>
      </c>
      <c r="O393" s="24">
        <v>1</v>
      </c>
      <c r="P393" s="8">
        <v>89995</v>
      </c>
      <c r="Q393" s="6" t="s">
        <v>2094</v>
      </c>
      <c r="R393" s="6" t="s">
        <v>1509</v>
      </c>
      <c r="S393" s="6" t="s">
        <v>2095</v>
      </c>
      <c r="T393" s="10" t="s">
        <v>2096</v>
      </c>
      <c r="U393" s="10" t="s">
        <v>2097</v>
      </c>
      <c r="V393" s="6" t="s">
        <v>59</v>
      </c>
      <c r="W393" s="8">
        <v>89995</v>
      </c>
      <c r="X393" s="6" t="s">
        <v>1906</v>
      </c>
    </row>
    <row r="394" spans="1:25" s="6" customFormat="1" ht="345">
      <c r="A394" s="6" t="s">
        <v>39</v>
      </c>
      <c r="B394" s="6">
        <v>18</v>
      </c>
      <c r="C394" s="7" t="s">
        <v>167</v>
      </c>
      <c r="D394" s="6" t="s">
        <v>2098</v>
      </c>
      <c r="E394" s="6" t="s">
        <v>2099</v>
      </c>
      <c r="F394" s="6" t="s">
        <v>1568</v>
      </c>
      <c r="G394" s="6" t="s">
        <v>55</v>
      </c>
      <c r="H394" s="6" t="s">
        <v>325</v>
      </c>
      <c r="I394" s="7" t="s">
        <v>1716</v>
      </c>
      <c r="J394" s="7" t="s">
        <v>1716</v>
      </c>
      <c r="K394" s="6" t="s">
        <v>1871</v>
      </c>
      <c r="L394" s="6" t="s">
        <v>1589</v>
      </c>
      <c r="M394" s="8">
        <v>560</v>
      </c>
      <c r="N394" s="6" t="s">
        <v>2020</v>
      </c>
      <c r="O394" s="24">
        <v>1</v>
      </c>
      <c r="P394" s="8">
        <v>560</v>
      </c>
      <c r="Q394" s="6" t="s">
        <v>2020</v>
      </c>
      <c r="R394" s="6" t="s">
        <v>1560</v>
      </c>
      <c r="S394" s="6" t="s">
        <v>1910</v>
      </c>
      <c r="T394" s="10" t="s">
        <v>2100</v>
      </c>
      <c r="U394" s="10" t="s">
        <v>2091</v>
      </c>
      <c r="V394" s="6" t="s">
        <v>59</v>
      </c>
      <c r="W394" s="8">
        <v>1400</v>
      </c>
      <c r="X394" s="6" t="s">
        <v>74</v>
      </c>
    </row>
    <row r="395" spans="1:25" s="6" customFormat="1" ht="386.4">
      <c r="A395" s="6" t="s">
        <v>39</v>
      </c>
      <c r="B395" s="6">
        <v>18</v>
      </c>
      <c r="C395" s="7" t="s">
        <v>176</v>
      </c>
      <c r="D395" s="6" t="s">
        <v>2101</v>
      </c>
      <c r="E395" s="6" t="s">
        <v>2102</v>
      </c>
      <c r="F395" s="6" t="s">
        <v>1278</v>
      </c>
      <c r="G395" s="6" t="s">
        <v>55</v>
      </c>
      <c r="H395" s="6" t="s">
        <v>158</v>
      </c>
      <c r="I395" s="7" t="s">
        <v>1982</v>
      </c>
      <c r="J395" s="7" t="s">
        <v>2103</v>
      </c>
      <c r="K395" s="6">
        <v>41</v>
      </c>
      <c r="L395" s="6" t="s">
        <v>43</v>
      </c>
      <c r="M395" s="8">
        <v>227444</v>
      </c>
      <c r="N395" s="6" t="s">
        <v>2104</v>
      </c>
      <c r="O395" s="24">
        <v>1</v>
      </c>
      <c r="P395" s="8">
        <v>682332</v>
      </c>
      <c r="Q395" s="6" t="s">
        <v>2108</v>
      </c>
      <c r="R395" s="6" t="s">
        <v>1509</v>
      </c>
      <c r="S395" s="6" t="s">
        <v>2105</v>
      </c>
      <c r="T395" s="10" t="s">
        <v>2106</v>
      </c>
      <c r="U395" s="10" t="s">
        <v>2107</v>
      </c>
      <c r="V395" s="6" t="s">
        <v>59</v>
      </c>
      <c r="W395" s="8">
        <v>682332</v>
      </c>
      <c r="X395" s="6" t="s">
        <v>2109</v>
      </c>
      <c r="Y395" s="6" t="s">
        <v>2110</v>
      </c>
    </row>
    <row r="396" spans="1:25" s="6" customFormat="1" ht="276">
      <c r="A396" s="6" t="s">
        <v>39</v>
      </c>
      <c r="B396" s="6">
        <v>18</v>
      </c>
      <c r="C396" s="7" t="s">
        <v>183</v>
      </c>
      <c r="D396" s="6" t="s">
        <v>2111</v>
      </c>
      <c r="E396" s="6" t="s">
        <v>2112</v>
      </c>
      <c r="F396" s="6" t="s">
        <v>1568</v>
      </c>
      <c r="G396" s="6" t="s">
        <v>55</v>
      </c>
      <c r="H396" s="6" t="s">
        <v>158</v>
      </c>
      <c r="I396" s="7" t="s">
        <v>1716</v>
      </c>
      <c r="J396" s="7" t="s">
        <v>1716</v>
      </c>
      <c r="K396" s="6" t="s">
        <v>1812</v>
      </c>
      <c r="L396" s="6" t="s">
        <v>1589</v>
      </c>
      <c r="M396" s="8">
        <v>560</v>
      </c>
      <c r="N396" s="6" t="s">
        <v>2020</v>
      </c>
      <c r="O396" s="24">
        <v>1</v>
      </c>
      <c r="P396" s="8">
        <v>560</v>
      </c>
      <c r="Q396" s="6" t="s">
        <v>2020</v>
      </c>
      <c r="R396" s="6" t="s">
        <v>1560</v>
      </c>
      <c r="S396" s="6" t="s">
        <v>1699</v>
      </c>
      <c r="T396" s="10" t="s">
        <v>2113</v>
      </c>
      <c r="U396" s="10" t="s">
        <v>2114</v>
      </c>
      <c r="V396" s="6" t="s">
        <v>59</v>
      </c>
      <c r="W396" s="8">
        <v>560</v>
      </c>
      <c r="X396" s="6" t="s">
        <v>74</v>
      </c>
    </row>
    <row r="397" spans="1:25" s="6" customFormat="1" ht="276">
      <c r="A397" s="6" t="s">
        <v>39</v>
      </c>
      <c r="B397" s="6">
        <v>18</v>
      </c>
      <c r="C397" s="7" t="s">
        <v>114</v>
      </c>
      <c r="D397" s="6" t="s">
        <v>2115</v>
      </c>
      <c r="E397" s="6" t="s">
        <v>2116</v>
      </c>
      <c r="F397" s="6" t="s">
        <v>1568</v>
      </c>
      <c r="G397" s="6" t="s">
        <v>55</v>
      </c>
      <c r="H397" s="6" t="s">
        <v>158</v>
      </c>
      <c r="I397" s="7" t="s">
        <v>1982</v>
      </c>
      <c r="J397" s="7" t="s">
        <v>1982</v>
      </c>
      <c r="K397" s="6" t="s">
        <v>1812</v>
      </c>
      <c r="L397" s="6" t="s">
        <v>1589</v>
      </c>
      <c r="M397" s="8">
        <v>560</v>
      </c>
      <c r="N397" s="6" t="s">
        <v>2020</v>
      </c>
      <c r="O397" s="24">
        <v>1</v>
      </c>
      <c r="P397" s="8">
        <v>560</v>
      </c>
      <c r="Q397" s="6" t="s">
        <v>2020</v>
      </c>
      <c r="R397" s="6" t="s">
        <v>1560</v>
      </c>
      <c r="S397" s="6" t="s">
        <v>1699</v>
      </c>
      <c r="T397" s="10" t="s">
        <v>2117</v>
      </c>
      <c r="U397" s="10" t="s">
        <v>2114</v>
      </c>
      <c r="V397" s="6" t="s">
        <v>59</v>
      </c>
      <c r="W397" s="8">
        <v>560</v>
      </c>
      <c r="X397" s="6" t="s">
        <v>74</v>
      </c>
    </row>
    <row r="398" spans="1:25" s="6" customFormat="1" ht="289.8">
      <c r="A398" s="6" t="s">
        <v>39</v>
      </c>
      <c r="B398" s="6">
        <v>18</v>
      </c>
      <c r="C398" s="7" t="s">
        <v>125</v>
      </c>
      <c r="D398" s="6" t="s">
        <v>2118</v>
      </c>
      <c r="E398" s="6" t="s">
        <v>2119</v>
      </c>
      <c r="F398" s="6" t="s">
        <v>1568</v>
      </c>
      <c r="G398" s="6" t="s">
        <v>55</v>
      </c>
      <c r="H398" s="6" t="s">
        <v>1023</v>
      </c>
      <c r="I398" s="7" t="s">
        <v>1761</v>
      </c>
      <c r="J398" s="7" t="s">
        <v>1723</v>
      </c>
      <c r="K398" s="6">
        <v>6</v>
      </c>
      <c r="L398" s="6" t="s">
        <v>1589</v>
      </c>
      <c r="M398" s="8">
        <v>4745</v>
      </c>
      <c r="N398" s="6" t="s">
        <v>2120</v>
      </c>
      <c r="O398" s="24">
        <v>1</v>
      </c>
      <c r="P398" s="8">
        <v>4745</v>
      </c>
      <c r="Q398" s="6" t="s">
        <v>2120</v>
      </c>
      <c r="R398" s="6" t="s">
        <v>1560</v>
      </c>
      <c r="S398" s="6" t="s">
        <v>1564</v>
      </c>
      <c r="T398" s="10" t="s">
        <v>2121</v>
      </c>
      <c r="U398" s="10" t="s">
        <v>2122</v>
      </c>
      <c r="V398" s="6" t="s">
        <v>59</v>
      </c>
      <c r="W398" s="8">
        <v>242087.81</v>
      </c>
      <c r="X398" s="6" t="s">
        <v>74</v>
      </c>
      <c r="Y398" s="6" t="s">
        <v>2126</v>
      </c>
    </row>
    <row r="399" spans="1:25" s="6" customFormat="1" ht="331.2">
      <c r="A399" s="6" t="s">
        <v>39</v>
      </c>
      <c r="B399" s="6">
        <v>18</v>
      </c>
      <c r="C399" s="7" t="s">
        <v>125</v>
      </c>
      <c r="D399" s="6" t="s">
        <v>2118</v>
      </c>
      <c r="E399" s="6" t="s">
        <v>2123</v>
      </c>
      <c r="F399" s="6" t="s">
        <v>1568</v>
      </c>
      <c r="G399" s="6" t="s">
        <v>55</v>
      </c>
      <c r="H399" s="6" t="s">
        <v>1023</v>
      </c>
      <c r="I399" s="7" t="s">
        <v>1723</v>
      </c>
      <c r="J399" s="7" t="s">
        <v>1723</v>
      </c>
      <c r="K399" s="6">
        <v>1</v>
      </c>
      <c r="L399" s="6" t="s">
        <v>1589</v>
      </c>
      <c r="M399" s="8">
        <v>960</v>
      </c>
      <c r="N399" s="6" t="s">
        <v>2124</v>
      </c>
      <c r="O399" s="24">
        <v>1</v>
      </c>
      <c r="P399" s="8">
        <v>960</v>
      </c>
      <c r="Q399" s="6" t="s">
        <v>2124</v>
      </c>
      <c r="R399" s="6" t="s">
        <v>1560</v>
      </c>
      <c r="S399" s="6" t="s">
        <v>2089</v>
      </c>
      <c r="T399" s="10" t="s">
        <v>2121</v>
      </c>
      <c r="U399" s="10" t="s">
        <v>2125</v>
      </c>
      <c r="V399" s="6" t="s">
        <v>59</v>
      </c>
      <c r="W399" s="8">
        <v>242087.81</v>
      </c>
      <c r="X399" s="6" t="s">
        <v>74</v>
      </c>
    </row>
    <row r="400" spans="1:25" s="6" customFormat="1" ht="276">
      <c r="A400" s="6" t="s">
        <v>39</v>
      </c>
      <c r="B400" s="6">
        <v>18</v>
      </c>
      <c r="C400" s="7" t="s">
        <v>134</v>
      </c>
      <c r="D400" s="6" t="s">
        <v>2127</v>
      </c>
      <c r="E400" s="6" t="s">
        <v>2128</v>
      </c>
      <c r="F400" s="6" t="s">
        <v>1568</v>
      </c>
      <c r="G400" s="6" t="s">
        <v>55</v>
      </c>
      <c r="H400" s="6" t="s">
        <v>158</v>
      </c>
      <c r="I400" s="7" t="s">
        <v>1982</v>
      </c>
      <c r="J400" s="7" t="s">
        <v>1982</v>
      </c>
      <c r="K400" s="6" t="s">
        <v>1171</v>
      </c>
      <c r="L400" s="6" t="s">
        <v>1589</v>
      </c>
      <c r="M400" s="8">
        <v>560</v>
      </c>
      <c r="N400" s="6" t="s">
        <v>2020</v>
      </c>
      <c r="O400" s="24">
        <v>1</v>
      </c>
      <c r="P400" s="8">
        <v>560</v>
      </c>
      <c r="Q400" s="6" t="s">
        <v>2020</v>
      </c>
      <c r="R400" s="6" t="s">
        <v>1560</v>
      </c>
      <c r="S400" s="6" t="s">
        <v>1699</v>
      </c>
      <c r="T400" s="10" t="s">
        <v>2129</v>
      </c>
      <c r="U400" s="10" t="s">
        <v>2130</v>
      </c>
      <c r="V400" s="6" t="s">
        <v>59</v>
      </c>
      <c r="W400" s="8">
        <v>960</v>
      </c>
      <c r="X400" s="6" t="s">
        <v>74</v>
      </c>
    </row>
    <row r="401" spans="1:25" s="6" customFormat="1" ht="193.2">
      <c r="A401" s="6" t="s">
        <v>39</v>
      </c>
      <c r="B401" s="7" t="s">
        <v>2074</v>
      </c>
      <c r="C401" s="7" t="s">
        <v>191</v>
      </c>
      <c r="D401" s="6" t="s">
        <v>2131</v>
      </c>
      <c r="E401" s="6" t="s">
        <v>2132</v>
      </c>
      <c r="F401" s="6" t="s">
        <v>40</v>
      </c>
      <c r="G401" s="6" t="s">
        <v>274</v>
      </c>
      <c r="H401" s="6" t="s">
        <v>2133</v>
      </c>
      <c r="I401" s="7" t="s">
        <v>1982</v>
      </c>
      <c r="J401" s="7" t="s">
        <v>1982</v>
      </c>
      <c r="K401" s="6" t="s">
        <v>1199</v>
      </c>
      <c r="L401" s="6" t="s">
        <v>43</v>
      </c>
      <c r="M401" s="8">
        <v>3750</v>
      </c>
      <c r="N401" s="6" t="s">
        <v>2134</v>
      </c>
      <c r="O401" s="24">
        <v>1</v>
      </c>
      <c r="P401" s="8">
        <v>3750</v>
      </c>
      <c r="Q401" s="6" t="s">
        <v>2134</v>
      </c>
      <c r="R401" s="6" t="s">
        <v>2135</v>
      </c>
      <c r="S401" s="6" t="s">
        <v>2136</v>
      </c>
      <c r="T401" s="10" t="s">
        <v>2137</v>
      </c>
      <c r="U401" s="10" t="s">
        <v>2138</v>
      </c>
      <c r="V401" s="6" t="s">
        <v>59</v>
      </c>
      <c r="W401" s="8">
        <v>3750</v>
      </c>
      <c r="X401" s="6" t="s">
        <v>74</v>
      </c>
    </row>
    <row r="402" spans="1:25" s="43" customFormat="1" ht="331.2">
      <c r="A402" s="37" t="s">
        <v>39</v>
      </c>
      <c r="B402" s="37">
        <v>18</v>
      </c>
      <c r="C402" s="38" t="s">
        <v>273</v>
      </c>
      <c r="D402" s="37" t="s">
        <v>3711</v>
      </c>
      <c r="E402" s="37" t="s">
        <v>3712</v>
      </c>
      <c r="F402" s="52" t="s">
        <v>2880</v>
      </c>
      <c r="G402" s="37" t="s">
        <v>55</v>
      </c>
      <c r="H402" s="37" t="s">
        <v>158</v>
      </c>
      <c r="I402" s="38" t="s">
        <v>1761</v>
      </c>
      <c r="J402" s="38" t="s">
        <v>2191</v>
      </c>
      <c r="K402" s="37">
        <v>4</v>
      </c>
      <c r="L402" s="37" t="s">
        <v>2906</v>
      </c>
      <c r="M402" s="39">
        <v>18053.2</v>
      </c>
      <c r="N402" s="37" t="s">
        <v>3713</v>
      </c>
      <c r="O402" s="40">
        <v>1</v>
      </c>
      <c r="P402" s="39">
        <v>18053.2</v>
      </c>
      <c r="Q402" s="37" t="s">
        <v>3713</v>
      </c>
      <c r="R402" s="37" t="s">
        <v>2184</v>
      </c>
      <c r="S402" s="37" t="s">
        <v>3714</v>
      </c>
      <c r="T402" s="41" t="s">
        <v>3716</v>
      </c>
      <c r="U402" s="41" t="s">
        <v>3715</v>
      </c>
      <c r="V402" s="37" t="s">
        <v>59</v>
      </c>
      <c r="W402" s="39">
        <v>1891475.81</v>
      </c>
      <c r="X402" s="37" t="s">
        <v>74</v>
      </c>
      <c r="Y402" s="37" t="s">
        <v>3717</v>
      </c>
    </row>
    <row r="403" spans="1:25" s="6" customFormat="1" ht="276">
      <c r="A403" s="6" t="s">
        <v>39</v>
      </c>
      <c r="B403" s="6">
        <v>18</v>
      </c>
      <c r="C403" s="7" t="s">
        <v>192</v>
      </c>
      <c r="D403" s="6" t="s">
        <v>2139</v>
      </c>
      <c r="E403" s="6" t="s">
        <v>2140</v>
      </c>
      <c r="F403" s="6" t="s">
        <v>1568</v>
      </c>
      <c r="G403" s="6" t="s">
        <v>55</v>
      </c>
      <c r="H403" s="6" t="s">
        <v>158</v>
      </c>
      <c r="I403" s="7" t="s">
        <v>1761</v>
      </c>
      <c r="J403" s="7" t="s">
        <v>1761</v>
      </c>
      <c r="K403" s="6" t="s">
        <v>1812</v>
      </c>
      <c r="L403" s="6" t="s">
        <v>1589</v>
      </c>
      <c r="M403" s="8">
        <v>390</v>
      </c>
      <c r="N403" s="6" t="s">
        <v>2082</v>
      </c>
      <c r="O403" s="24">
        <v>1</v>
      </c>
      <c r="P403" s="8">
        <v>0</v>
      </c>
      <c r="Q403" s="6" t="s">
        <v>2143</v>
      </c>
      <c r="R403" s="6" t="s">
        <v>1560</v>
      </c>
      <c r="S403" s="6" t="s">
        <v>1699</v>
      </c>
      <c r="T403" s="10" t="s">
        <v>2141</v>
      </c>
      <c r="U403" s="10" t="s">
        <v>2142</v>
      </c>
      <c r="V403" s="6" t="s">
        <v>59</v>
      </c>
      <c r="W403" s="8">
        <v>3000</v>
      </c>
      <c r="X403" s="6" t="s">
        <v>74</v>
      </c>
      <c r="Y403" s="6" t="s">
        <v>2144</v>
      </c>
    </row>
    <row r="404" spans="1:25" s="6" customFormat="1" ht="289.8">
      <c r="A404" s="6" t="s">
        <v>39</v>
      </c>
      <c r="B404" s="6">
        <v>18</v>
      </c>
      <c r="C404" s="7" t="s">
        <v>201</v>
      </c>
      <c r="D404" s="6" t="s">
        <v>2145</v>
      </c>
      <c r="E404" s="6" t="s">
        <v>2146</v>
      </c>
      <c r="F404" s="6" t="s">
        <v>1278</v>
      </c>
      <c r="G404" s="6" t="s">
        <v>55</v>
      </c>
      <c r="H404" s="6" t="s">
        <v>158</v>
      </c>
      <c r="I404" s="7" t="s">
        <v>1996</v>
      </c>
      <c r="J404" s="7" t="s">
        <v>2147</v>
      </c>
      <c r="K404" s="6">
        <v>25</v>
      </c>
      <c r="L404" s="6" t="s">
        <v>43</v>
      </c>
      <c r="M404" s="8">
        <v>34968</v>
      </c>
      <c r="N404" s="6" t="s">
        <v>2148</v>
      </c>
      <c r="O404" s="24">
        <v>1</v>
      </c>
      <c r="P404" s="8">
        <v>69526.03</v>
      </c>
      <c r="Q404" s="6" t="s">
        <v>2149</v>
      </c>
      <c r="R404" s="6" t="s">
        <v>86</v>
      </c>
      <c r="S404" s="6" t="s">
        <v>2150</v>
      </c>
      <c r="T404" s="10" t="s">
        <v>2151</v>
      </c>
      <c r="U404" s="10" t="s">
        <v>2152</v>
      </c>
      <c r="V404" s="6" t="s">
        <v>59</v>
      </c>
      <c r="W404" s="8">
        <v>69526.03</v>
      </c>
      <c r="X404" s="6" t="s">
        <v>74</v>
      </c>
      <c r="Y404" s="6" t="s">
        <v>2153</v>
      </c>
    </row>
    <row r="405" spans="1:25" s="6" customFormat="1" ht="276">
      <c r="A405" s="6" t="s">
        <v>39</v>
      </c>
      <c r="B405" s="6">
        <v>18</v>
      </c>
      <c r="C405" s="7" t="s">
        <v>285</v>
      </c>
      <c r="D405" s="6" t="s">
        <v>2154</v>
      </c>
      <c r="E405" s="6" t="s">
        <v>2155</v>
      </c>
      <c r="F405" s="6" t="s">
        <v>1568</v>
      </c>
      <c r="G405" s="6" t="s">
        <v>55</v>
      </c>
      <c r="H405" s="6" t="s">
        <v>325</v>
      </c>
      <c r="I405" s="7" t="s">
        <v>1507</v>
      </c>
      <c r="J405" s="7" t="s">
        <v>1507</v>
      </c>
      <c r="K405" s="6" t="s">
        <v>1871</v>
      </c>
      <c r="L405" s="6" t="s">
        <v>1589</v>
      </c>
      <c r="M405" s="8">
        <v>1568</v>
      </c>
      <c r="N405" s="6" t="s">
        <v>2156</v>
      </c>
      <c r="O405" s="24">
        <v>1</v>
      </c>
      <c r="P405" s="8">
        <v>1568</v>
      </c>
      <c r="Q405" s="6" t="s">
        <v>2156</v>
      </c>
      <c r="R405" s="6" t="s">
        <v>2157</v>
      </c>
      <c r="S405" s="6" t="s">
        <v>1699</v>
      </c>
      <c r="T405" s="10" t="s">
        <v>2158</v>
      </c>
      <c r="U405" s="10" t="s">
        <v>2130</v>
      </c>
      <c r="V405" s="6" t="s">
        <v>59</v>
      </c>
      <c r="W405" s="8">
        <v>6000</v>
      </c>
      <c r="X405" s="6" t="s">
        <v>74</v>
      </c>
    </row>
    <row r="406" spans="1:25" s="6" customFormat="1" ht="303.60000000000002">
      <c r="A406" s="6" t="s">
        <v>39</v>
      </c>
      <c r="B406" s="6">
        <v>18</v>
      </c>
      <c r="C406" s="7" t="s">
        <v>295</v>
      </c>
      <c r="D406" s="6" t="s">
        <v>2159</v>
      </c>
      <c r="E406" s="6" t="s">
        <v>2160</v>
      </c>
      <c r="F406" s="6" t="s">
        <v>1568</v>
      </c>
      <c r="G406" s="6" t="s">
        <v>55</v>
      </c>
      <c r="H406" s="6" t="s">
        <v>158</v>
      </c>
      <c r="I406" s="7" t="s">
        <v>1507</v>
      </c>
      <c r="J406" s="7" t="s">
        <v>1507</v>
      </c>
      <c r="K406" s="6" t="s">
        <v>1562</v>
      </c>
      <c r="L406" s="6" t="s">
        <v>1589</v>
      </c>
      <c r="M406" s="8">
        <v>560</v>
      </c>
      <c r="N406" s="6" t="s">
        <v>2020</v>
      </c>
      <c r="O406" s="24">
        <v>1</v>
      </c>
      <c r="P406" s="8">
        <v>560</v>
      </c>
      <c r="Q406" s="6" t="s">
        <v>2020</v>
      </c>
      <c r="R406" s="6" t="s">
        <v>2157</v>
      </c>
      <c r="S406" s="6" t="s">
        <v>2161</v>
      </c>
      <c r="T406" s="10" t="s">
        <v>2162</v>
      </c>
      <c r="U406" s="10" t="s">
        <v>2130</v>
      </c>
      <c r="V406" s="6" t="s">
        <v>59</v>
      </c>
      <c r="W406" s="8">
        <v>560</v>
      </c>
      <c r="X406" s="6" t="s">
        <v>74</v>
      </c>
    </row>
    <row r="407" spans="1:25" s="6" customFormat="1" ht="276">
      <c r="A407" s="6" t="s">
        <v>39</v>
      </c>
      <c r="B407" s="6">
        <v>18</v>
      </c>
      <c r="C407" s="7" t="s">
        <v>305</v>
      </c>
      <c r="D407" s="6" t="s">
        <v>2163</v>
      </c>
      <c r="E407" s="6" t="s">
        <v>2164</v>
      </c>
      <c r="F407" s="6" t="s">
        <v>1568</v>
      </c>
      <c r="G407" s="6" t="s">
        <v>55</v>
      </c>
      <c r="H407" s="6" t="s">
        <v>158</v>
      </c>
      <c r="I407" s="7" t="s">
        <v>1507</v>
      </c>
      <c r="J407" s="7" t="s">
        <v>1507</v>
      </c>
      <c r="K407" s="6" t="s">
        <v>1199</v>
      </c>
      <c r="L407" s="6" t="s">
        <v>1589</v>
      </c>
      <c r="M407" s="8">
        <v>560</v>
      </c>
      <c r="N407" s="6" t="s">
        <v>2020</v>
      </c>
      <c r="O407" s="24">
        <v>1</v>
      </c>
      <c r="P407" s="8">
        <v>560</v>
      </c>
      <c r="Q407" s="6" t="s">
        <v>2020</v>
      </c>
      <c r="R407" s="6" t="s">
        <v>2157</v>
      </c>
      <c r="S407" s="6" t="s">
        <v>2165</v>
      </c>
      <c r="T407" s="10" t="s">
        <v>2175</v>
      </c>
      <c r="U407" s="10" t="s">
        <v>2130</v>
      </c>
      <c r="V407" s="6" t="s">
        <v>59</v>
      </c>
      <c r="W407" s="8">
        <v>6000</v>
      </c>
      <c r="X407" s="6" t="s">
        <v>74</v>
      </c>
    </row>
    <row r="408" spans="1:25" s="6" customFormat="1" ht="248.4">
      <c r="A408" s="6" t="s">
        <v>39</v>
      </c>
      <c r="B408" s="6">
        <v>18</v>
      </c>
      <c r="C408" s="7" t="s">
        <v>314</v>
      </c>
      <c r="D408" s="6" t="s">
        <v>2166</v>
      </c>
      <c r="E408" s="6" t="s">
        <v>2167</v>
      </c>
      <c r="F408" s="6" t="s">
        <v>1278</v>
      </c>
      <c r="G408" s="6" t="s">
        <v>55</v>
      </c>
      <c r="H408" s="6" t="s">
        <v>158</v>
      </c>
      <c r="I408" s="7" t="s">
        <v>1996</v>
      </c>
      <c r="J408" s="7" t="s">
        <v>2168</v>
      </c>
      <c r="K408" s="6">
        <v>6</v>
      </c>
      <c r="L408" s="6" t="s">
        <v>43</v>
      </c>
      <c r="M408" s="8">
        <v>58199</v>
      </c>
      <c r="N408" s="6" t="s">
        <v>2169</v>
      </c>
      <c r="O408" s="24">
        <v>1</v>
      </c>
      <c r="P408" s="8">
        <v>58199</v>
      </c>
      <c r="Q408" s="6" t="s">
        <v>2169</v>
      </c>
      <c r="R408" s="6" t="s">
        <v>1509</v>
      </c>
      <c r="S408" s="6" t="s">
        <v>2170</v>
      </c>
      <c r="T408" s="10" t="s">
        <v>2171</v>
      </c>
      <c r="U408" s="10" t="s">
        <v>2172</v>
      </c>
      <c r="V408" s="6" t="s">
        <v>59</v>
      </c>
      <c r="W408" s="8">
        <v>58199</v>
      </c>
      <c r="X408" s="6" t="s">
        <v>1682</v>
      </c>
    </row>
    <row r="409" spans="1:25" s="6" customFormat="1" ht="276">
      <c r="A409" s="6" t="s">
        <v>39</v>
      </c>
      <c r="B409" s="6">
        <v>18</v>
      </c>
      <c r="C409" s="7" t="s">
        <v>323</v>
      </c>
      <c r="D409" s="6" t="s">
        <v>2173</v>
      </c>
      <c r="E409" s="6" t="s">
        <v>2174</v>
      </c>
      <c r="F409" s="6" t="s">
        <v>1568</v>
      </c>
      <c r="G409" s="6" t="s">
        <v>55</v>
      </c>
      <c r="H409" s="6" t="s">
        <v>325</v>
      </c>
      <c r="I409" s="7" t="s">
        <v>1996</v>
      </c>
      <c r="J409" s="7" t="s">
        <v>1996</v>
      </c>
      <c r="K409" s="6" t="s">
        <v>1812</v>
      </c>
      <c r="L409" s="6" t="s">
        <v>1589</v>
      </c>
      <c r="M409" s="8">
        <v>560</v>
      </c>
      <c r="N409" s="6" t="s">
        <v>2020</v>
      </c>
      <c r="O409" s="24">
        <v>1</v>
      </c>
      <c r="P409" s="8">
        <v>560</v>
      </c>
      <c r="Q409" s="6" t="s">
        <v>2020</v>
      </c>
      <c r="R409" s="6" t="s">
        <v>2157</v>
      </c>
      <c r="S409" s="6" t="s">
        <v>2165</v>
      </c>
      <c r="T409" s="10" t="s">
        <v>2176</v>
      </c>
      <c r="U409" s="10" t="s">
        <v>2130</v>
      </c>
      <c r="V409" s="6" t="s">
        <v>59</v>
      </c>
      <c r="W409" s="8">
        <v>5000</v>
      </c>
      <c r="X409" s="6" t="s">
        <v>74</v>
      </c>
    </row>
    <row r="410" spans="1:25" s="6" customFormat="1" ht="276">
      <c r="A410" s="6" t="s">
        <v>39</v>
      </c>
      <c r="B410" s="6">
        <v>18</v>
      </c>
      <c r="C410" s="7" t="s">
        <v>330</v>
      </c>
      <c r="D410" s="6" t="s">
        <v>2177</v>
      </c>
      <c r="E410" s="6" t="s">
        <v>2178</v>
      </c>
      <c r="F410" s="6" t="s">
        <v>1568</v>
      </c>
      <c r="G410" s="6" t="s">
        <v>55</v>
      </c>
      <c r="H410" s="6" t="s">
        <v>158</v>
      </c>
      <c r="I410" s="7" t="s">
        <v>1996</v>
      </c>
      <c r="J410" s="7" t="s">
        <v>1996</v>
      </c>
      <c r="K410" s="6" t="s">
        <v>1871</v>
      </c>
      <c r="L410" s="6" t="s">
        <v>1589</v>
      </c>
      <c r="M410" s="8">
        <v>690</v>
      </c>
      <c r="N410" s="6" t="s">
        <v>2088</v>
      </c>
      <c r="O410" s="24">
        <v>1</v>
      </c>
      <c r="P410" s="8">
        <v>690</v>
      </c>
      <c r="Q410" s="6" t="s">
        <v>2088</v>
      </c>
      <c r="R410" s="6" t="s">
        <v>2157</v>
      </c>
      <c r="S410" s="6" t="s">
        <v>2165</v>
      </c>
      <c r="T410" s="10" t="s">
        <v>2129</v>
      </c>
      <c r="U410" s="10" t="s">
        <v>2179</v>
      </c>
      <c r="V410" s="6" t="s">
        <v>59</v>
      </c>
      <c r="W410" s="8">
        <v>10000</v>
      </c>
      <c r="X410" s="6" t="s">
        <v>74</v>
      </c>
    </row>
    <row r="411" spans="1:25" s="6" customFormat="1" ht="179.4">
      <c r="A411" s="6" t="s">
        <v>39</v>
      </c>
      <c r="B411" s="6">
        <v>18</v>
      </c>
      <c r="C411" s="7" t="s">
        <v>340</v>
      </c>
      <c r="D411" s="6" t="s">
        <v>2180</v>
      </c>
      <c r="E411" s="6" t="s">
        <v>2181</v>
      </c>
      <c r="F411" s="6" t="s">
        <v>1278</v>
      </c>
      <c r="G411" s="6" t="s">
        <v>55</v>
      </c>
      <c r="H411" s="6" t="s">
        <v>158</v>
      </c>
      <c r="I411" s="7" t="s">
        <v>1996</v>
      </c>
      <c r="J411" s="7" t="s">
        <v>2182</v>
      </c>
      <c r="K411" s="6">
        <v>19</v>
      </c>
      <c r="L411" s="6" t="s">
        <v>43</v>
      </c>
      <c r="M411" s="8">
        <v>18089.5</v>
      </c>
      <c r="N411" s="6" t="s">
        <v>2183</v>
      </c>
      <c r="O411" s="24">
        <v>1</v>
      </c>
      <c r="P411" s="8">
        <v>18089.5</v>
      </c>
      <c r="Q411" s="6" t="s">
        <v>2183</v>
      </c>
      <c r="R411" s="6" t="s">
        <v>2184</v>
      </c>
      <c r="S411" s="6" t="s">
        <v>2185</v>
      </c>
      <c r="T411" s="10" t="s">
        <v>2186</v>
      </c>
      <c r="U411" s="10" t="s">
        <v>2187</v>
      </c>
      <c r="V411" s="6" t="s">
        <v>59</v>
      </c>
      <c r="W411" s="8">
        <v>18089.5</v>
      </c>
      <c r="X411" s="6" t="s">
        <v>74</v>
      </c>
    </row>
    <row r="412" spans="1:25" s="6" customFormat="1" ht="110.4">
      <c r="A412" s="6" t="s">
        <v>39</v>
      </c>
      <c r="B412" s="7" t="s">
        <v>2074</v>
      </c>
      <c r="C412" s="7" t="s">
        <v>348</v>
      </c>
      <c r="D412" s="6" t="s">
        <v>2188</v>
      </c>
      <c r="E412" s="6" t="s">
        <v>2189</v>
      </c>
      <c r="F412" s="6" t="s">
        <v>40</v>
      </c>
      <c r="G412" s="6" t="s">
        <v>1535</v>
      </c>
      <c r="H412" s="6" t="s">
        <v>2190</v>
      </c>
      <c r="I412" s="7" t="s">
        <v>2191</v>
      </c>
      <c r="J412" s="7" t="s">
        <v>1723</v>
      </c>
      <c r="K412" s="6">
        <v>3</v>
      </c>
      <c r="L412" s="6" t="s">
        <v>43</v>
      </c>
      <c r="M412" s="8">
        <v>10274.280000000001</v>
      </c>
      <c r="N412" s="6" t="s">
        <v>2192</v>
      </c>
      <c r="O412" s="24">
        <v>1</v>
      </c>
      <c r="P412" s="8">
        <v>10274.280000000001</v>
      </c>
      <c r="Q412" s="6" t="s">
        <v>2192</v>
      </c>
      <c r="R412" s="6" t="s">
        <v>2193</v>
      </c>
      <c r="S412" s="6" t="s">
        <v>2194</v>
      </c>
      <c r="T412" s="10" t="s">
        <v>2195</v>
      </c>
      <c r="U412" s="10" t="s">
        <v>2196</v>
      </c>
      <c r="V412" s="6" t="s">
        <v>59</v>
      </c>
      <c r="W412" s="8">
        <v>10274.280000000001</v>
      </c>
      <c r="X412" s="6" t="s">
        <v>74</v>
      </c>
    </row>
    <row r="413" spans="1:25" s="43" customFormat="1" ht="409.6">
      <c r="A413" s="37" t="s">
        <v>39</v>
      </c>
      <c r="B413" s="37">
        <v>18</v>
      </c>
      <c r="C413" s="38" t="s">
        <v>358</v>
      </c>
      <c r="D413" s="37" t="s">
        <v>3718</v>
      </c>
      <c r="E413" s="37" t="s">
        <v>3719</v>
      </c>
      <c r="F413" s="52" t="s">
        <v>2880</v>
      </c>
      <c r="G413" s="37" t="s">
        <v>55</v>
      </c>
      <c r="H413" s="37" t="s">
        <v>3720</v>
      </c>
      <c r="I413" s="38" t="s">
        <v>1775</v>
      </c>
      <c r="J413" s="38" t="s">
        <v>2829</v>
      </c>
      <c r="K413" s="37">
        <v>52</v>
      </c>
      <c r="L413" s="37" t="s">
        <v>2998</v>
      </c>
      <c r="M413" s="39">
        <v>2500000</v>
      </c>
      <c r="N413" s="37" t="s">
        <v>3721</v>
      </c>
      <c r="O413" s="40">
        <v>0.66500000000000004</v>
      </c>
      <c r="P413" s="39">
        <v>1024558.68</v>
      </c>
      <c r="Q413" s="37" t="s">
        <v>3724</v>
      </c>
      <c r="R413" s="37" t="s">
        <v>1509</v>
      </c>
      <c r="S413" s="37" t="s">
        <v>3357</v>
      </c>
      <c r="T413" s="41" t="s">
        <v>3722</v>
      </c>
      <c r="U413" s="41" t="s">
        <v>3723</v>
      </c>
      <c r="V413" s="37" t="s">
        <v>59</v>
      </c>
      <c r="W413" s="39">
        <v>21217382.98</v>
      </c>
      <c r="X413" s="37" t="s">
        <v>3670</v>
      </c>
      <c r="Y413" s="37" t="s">
        <v>3725</v>
      </c>
    </row>
    <row r="414" spans="1:25" s="6" customFormat="1" ht="262.2">
      <c r="A414" s="6" t="s">
        <v>39</v>
      </c>
      <c r="B414" s="7" t="s">
        <v>2074</v>
      </c>
      <c r="C414" s="7" t="s">
        <v>494</v>
      </c>
      <c r="D414" s="6" t="s">
        <v>2197</v>
      </c>
      <c r="E414" s="6" t="s">
        <v>2198</v>
      </c>
      <c r="F414" s="6" t="s">
        <v>40</v>
      </c>
      <c r="G414" s="6" t="s">
        <v>55</v>
      </c>
      <c r="H414" s="6" t="s">
        <v>1528</v>
      </c>
      <c r="I414" s="7" t="s">
        <v>2191</v>
      </c>
      <c r="J414" s="7" t="s">
        <v>2191</v>
      </c>
      <c r="K414" s="6" t="s">
        <v>1199</v>
      </c>
      <c r="L414" s="6" t="s">
        <v>43</v>
      </c>
      <c r="M414" s="8">
        <v>8130</v>
      </c>
      <c r="N414" s="6" t="s">
        <v>2199</v>
      </c>
      <c r="O414" s="24">
        <v>1</v>
      </c>
      <c r="P414" s="8">
        <v>8130</v>
      </c>
      <c r="Q414" s="6" t="s">
        <v>2199</v>
      </c>
      <c r="R414" s="6" t="s">
        <v>291</v>
      </c>
      <c r="S414" s="6" t="s">
        <v>1328</v>
      </c>
      <c r="T414" s="10" t="s">
        <v>2200</v>
      </c>
      <c r="U414" s="10" t="s">
        <v>2201</v>
      </c>
      <c r="V414" s="6" t="s">
        <v>59</v>
      </c>
      <c r="W414" s="8">
        <v>14468941.029999999</v>
      </c>
      <c r="X414" s="6" t="s">
        <v>74</v>
      </c>
    </row>
    <row r="415" spans="1:25" s="6" customFormat="1" ht="276">
      <c r="A415" s="6" t="s">
        <v>39</v>
      </c>
      <c r="B415" s="6">
        <v>18</v>
      </c>
      <c r="C415" s="7" t="s">
        <v>505</v>
      </c>
      <c r="D415" s="6" t="s">
        <v>2202</v>
      </c>
      <c r="E415" s="6" t="s">
        <v>2203</v>
      </c>
      <c r="F415" s="6" t="s">
        <v>1568</v>
      </c>
      <c r="G415" s="6" t="s">
        <v>55</v>
      </c>
      <c r="H415" s="6" t="s">
        <v>1069</v>
      </c>
      <c r="I415" s="7" t="s">
        <v>2191</v>
      </c>
      <c r="J415" s="7" t="s">
        <v>2191</v>
      </c>
      <c r="K415" s="6" t="s">
        <v>1812</v>
      </c>
      <c r="L415" s="6" t="s">
        <v>1589</v>
      </c>
      <c r="M415" s="8">
        <v>560</v>
      </c>
      <c r="N415" s="6" t="s">
        <v>2020</v>
      </c>
      <c r="O415" s="24">
        <v>1</v>
      </c>
      <c r="P415" s="8">
        <v>560</v>
      </c>
      <c r="Q415" s="6" t="s">
        <v>2020</v>
      </c>
      <c r="R415" s="6" t="s">
        <v>2157</v>
      </c>
      <c r="S415" s="6" t="s">
        <v>2165</v>
      </c>
      <c r="T415" s="10" t="s">
        <v>2204</v>
      </c>
      <c r="U415" s="10" t="s">
        <v>2130</v>
      </c>
      <c r="V415" s="6" t="s">
        <v>59</v>
      </c>
      <c r="W415" s="8">
        <v>560</v>
      </c>
      <c r="X415" s="6" t="s">
        <v>74</v>
      </c>
    </row>
    <row r="416" spans="1:25" s="6" customFormat="1" ht="331.2">
      <c r="A416" s="6" t="s">
        <v>39</v>
      </c>
      <c r="B416" s="6">
        <v>18</v>
      </c>
      <c r="C416" s="7" t="s">
        <v>514</v>
      </c>
      <c r="D416" s="6" t="s">
        <v>2205</v>
      </c>
      <c r="E416" s="6" t="s">
        <v>2206</v>
      </c>
      <c r="F416" s="6" t="s">
        <v>1278</v>
      </c>
      <c r="G416" s="6" t="s">
        <v>55</v>
      </c>
      <c r="H416" s="6" t="s">
        <v>158</v>
      </c>
      <c r="I416" s="7" t="s">
        <v>1931</v>
      </c>
      <c r="J416" s="7" t="s">
        <v>2208</v>
      </c>
      <c r="K416" s="6">
        <v>49</v>
      </c>
      <c r="L416" s="6" t="s">
        <v>43</v>
      </c>
      <c r="M416" s="8">
        <v>120740</v>
      </c>
      <c r="N416" s="6" t="s">
        <v>2209</v>
      </c>
      <c r="O416" s="24">
        <v>1</v>
      </c>
      <c r="P416" s="8">
        <v>420418.65</v>
      </c>
      <c r="Q416" s="6" t="s">
        <v>2210</v>
      </c>
      <c r="R416" s="6" t="s">
        <v>1509</v>
      </c>
      <c r="S416" s="6" t="s">
        <v>2211</v>
      </c>
      <c r="T416" s="10" t="s">
        <v>2212</v>
      </c>
      <c r="U416" s="10" t="s">
        <v>2213</v>
      </c>
      <c r="V416" s="6" t="s">
        <v>59</v>
      </c>
      <c r="W416" s="8">
        <v>420418.65</v>
      </c>
      <c r="X416" s="6" t="s">
        <v>1682</v>
      </c>
      <c r="Y416" s="6" t="s">
        <v>2214</v>
      </c>
    </row>
    <row r="417" spans="1:25" s="6" customFormat="1" ht="96.6">
      <c r="A417" s="6" t="s">
        <v>39</v>
      </c>
      <c r="B417" s="6">
        <v>18</v>
      </c>
      <c r="C417" s="7" t="s">
        <v>522</v>
      </c>
      <c r="D417" s="6" t="s">
        <v>2215</v>
      </c>
      <c r="E417" s="6" t="s">
        <v>2216</v>
      </c>
      <c r="F417" s="6" t="s">
        <v>1568</v>
      </c>
      <c r="G417" s="6" t="s">
        <v>55</v>
      </c>
      <c r="H417" s="6" t="s">
        <v>613</v>
      </c>
      <c r="I417" s="7" t="s">
        <v>2191</v>
      </c>
      <c r="J417" s="7" t="s">
        <v>1709</v>
      </c>
      <c r="K417" s="6">
        <v>6</v>
      </c>
      <c r="L417" s="6" t="s">
        <v>1589</v>
      </c>
      <c r="M417" s="8">
        <v>2770</v>
      </c>
      <c r="N417" s="6" t="s">
        <v>2217</v>
      </c>
      <c r="O417" s="24">
        <v>1</v>
      </c>
      <c r="P417" s="8">
        <v>2770</v>
      </c>
      <c r="Q417" s="6" t="s">
        <v>2217</v>
      </c>
      <c r="R417" s="6" t="s">
        <v>2218</v>
      </c>
      <c r="S417" s="6" t="s">
        <v>2219</v>
      </c>
      <c r="T417" s="10" t="s">
        <v>2220</v>
      </c>
      <c r="U417" s="10" t="s">
        <v>2221</v>
      </c>
      <c r="V417" s="6" t="s">
        <v>59</v>
      </c>
      <c r="W417" s="8">
        <v>351730.93</v>
      </c>
      <c r="X417" s="6" t="s">
        <v>74</v>
      </c>
    </row>
    <row r="418" spans="1:25" s="6" customFormat="1" ht="276">
      <c r="A418" s="6" t="s">
        <v>39</v>
      </c>
      <c r="B418" s="6">
        <v>18</v>
      </c>
      <c r="C418" s="7" t="s">
        <v>528</v>
      </c>
      <c r="D418" s="6" t="s">
        <v>2222</v>
      </c>
      <c r="E418" s="6" t="s">
        <v>2164</v>
      </c>
      <c r="F418" s="6" t="s">
        <v>1568</v>
      </c>
      <c r="G418" s="6" t="s">
        <v>55</v>
      </c>
      <c r="H418" s="6" t="s">
        <v>325</v>
      </c>
      <c r="I418" s="7" t="s">
        <v>2191</v>
      </c>
      <c r="J418" s="7" t="s">
        <v>2191</v>
      </c>
      <c r="K418" s="6" t="s">
        <v>1812</v>
      </c>
      <c r="L418" s="6" t="s">
        <v>1589</v>
      </c>
      <c r="M418" s="8">
        <v>560</v>
      </c>
      <c r="N418" s="6" t="s">
        <v>2020</v>
      </c>
      <c r="O418" s="24">
        <v>1</v>
      </c>
      <c r="P418" s="8">
        <v>560</v>
      </c>
      <c r="Q418" s="6" t="s">
        <v>2020</v>
      </c>
      <c r="R418" s="6" t="s">
        <v>2157</v>
      </c>
      <c r="S418" s="6" t="s">
        <v>2165</v>
      </c>
      <c r="T418" s="10" t="s">
        <v>2223</v>
      </c>
      <c r="U418" s="10" t="s">
        <v>2130</v>
      </c>
      <c r="V418" s="6" t="s">
        <v>59</v>
      </c>
      <c r="W418" s="8">
        <v>6000</v>
      </c>
      <c r="X418" s="6" t="s">
        <v>74</v>
      </c>
    </row>
    <row r="419" spans="1:25" s="6" customFormat="1" ht="262.2">
      <c r="A419" s="6" t="s">
        <v>39</v>
      </c>
      <c r="B419" s="6">
        <v>18</v>
      </c>
      <c r="C419" s="7" t="s">
        <v>536</v>
      </c>
      <c r="D419" s="6" t="s">
        <v>2224</v>
      </c>
      <c r="E419" s="6" t="s">
        <v>2225</v>
      </c>
      <c r="F419" s="6" t="s">
        <v>1278</v>
      </c>
      <c r="G419" s="6" t="s">
        <v>55</v>
      </c>
      <c r="H419" s="6" t="s">
        <v>158</v>
      </c>
      <c r="I419" s="7" t="s">
        <v>1931</v>
      </c>
      <c r="J419" s="7" t="s">
        <v>2168</v>
      </c>
      <c r="K419" s="6">
        <v>3</v>
      </c>
      <c r="L419" s="6" t="s">
        <v>43</v>
      </c>
      <c r="M419" s="8">
        <v>4695</v>
      </c>
      <c r="N419" s="6" t="s">
        <v>2226</v>
      </c>
      <c r="O419" s="24">
        <v>1</v>
      </c>
      <c r="P419" s="8">
        <v>4695</v>
      </c>
      <c r="Q419" s="6" t="s">
        <v>2226</v>
      </c>
      <c r="R419" s="6" t="s">
        <v>1509</v>
      </c>
      <c r="S419" s="6" t="s">
        <v>2227</v>
      </c>
      <c r="T419" s="10" t="s">
        <v>2228</v>
      </c>
      <c r="U419" s="10" t="s">
        <v>2229</v>
      </c>
      <c r="V419" s="6" t="s">
        <v>59</v>
      </c>
      <c r="W419" s="8">
        <v>4695</v>
      </c>
      <c r="X419" s="6" t="s">
        <v>74</v>
      </c>
    </row>
    <row r="420" spans="1:25" s="6" customFormat="1" ht="276">
      <c r="A420" s="6" t="s">
        <v>39</v>
      </c>
      <c r="B420" s="6">
        <v>18</v>
      </c>
      <c r="C420" s="7" t="s">
        <v>544</v>
      </c>
      <c r="D420" s="6" t="s">
        <v>2230</v>
      </c>
      <c r="E420" s="6" t="s">
        <v>2231</v>
      </c>
      <c r="F420" s="6" t="s">
        <v>1568</v>
      </c>
      <c r="G420" s="6" t="s">
        <v>55</v>
      </c>
      <c r="H420" s="6" t="s">
        <v>158</v>
      </c>
      <c r="I420" s="7" t="s">
        <v>1931</v>
      </c>
      <c r="J420" s="7" t="s">
        <v>1931</v>
      </c>
      <c r="K420" s="6" t="s">
        <v>1562</v>
      </c>
      <c r="L420" s="6" t="s">
        <v>1589</v>
      </c>
      <c r="M420" s="8">
        <v>390</v>
      </c>
      <c r="N420" s="6" t="s">
        <v>2082</v>
      </c>
      <c r="O420" s="24">
        <v>1</v>
      </c>
      <c r="P420" s="8">
        <v>390</v>
      </c>
      <c r="Q420" s="6" t="s">
        <v>2082</v>
      </c>
      <c r="R420" s="6" t="s">
        <v>1560</v>
      </c>
      <c r="S420" s="6" t="s">
        <v>2165</v>
      </c>
      <c r="T420" s="10" t="s">
        <v>2232</v>
      </c>
      <c r="U420" s="10" t="s">
        <v>2142</v>
      </c>
      <c r="V420" s="6" t="s">
        <v>59</v>
      </c>
      <c r="W420" s="8">
        <v>20000</v>
      </c>
      <c r="X420" s="6" t="s">
        <v>74</v>
      </c>
    </row>
    <row r="421" spans="1:25" s="6" customFormat="1" ht="248.4">
      <c r="A421" s="6" t="s">
        <v>39</v>
      </c>
      <c r="B421" s="7" t="s">
        <v>2074</v>
      </c>
      <c r="C421" s="7" t="s">
        <v>842</v>
      </c>
      <c r="D421" s="6" t="s">
        <v>2233</v>
      </c>
      <c r="E421" s="6" t="s">
        <v>2234</v>
      </c>
      <c r="F421" s="6" t="s">
        <v>40</v>
      </c>
      <c r="G421" s="6" t="s">
        <v>55</v>
      </c>
      <c r="H421" s="6" t="s">
        <v>202</v>
      </c>
      <c r="I421" s="7" t="s">
        <v>1931</v>
      </c>
      <c r="J421" s="7" t="s">
        <v>1775</v>
      </c>
      <c r="K421" s="6">
        <v>2</v>
      </c>
      <c r="L421" s="6" t="s">
        <v>43</v>
      </c>
      <c r="M421" s="8">
        <v>10890</v>
      </c>
      <c r="N421" s="6" t="s">
        <v>2235</v>
      </c>
      <c r="O421" s="24">
        <v>1</v>
      </c>
      <c r="P421" s="8">
        <v>10890</v>
      </c>
      <c r="Q421" s="6" t="s">
        <v>2235</v>
      </c>
      <c r="R421" s="24" t="s">
        <v>206</v>
      </c>
      <c r="S421" s="6" t="s">
        <v>2236</v>
      </c>
      <c r="T421" s="10" t="s">
        <v>2237</v>
      </c>
      <c r="U421" s="10" t="s">
        <v>2238</v>
      </c>
      <c r="V421" s="6" t="s">
        <v>59</v>
      </c>
      <c r="W421" s="8">
        <v>10890</v>
      </c>
      <c r="X421" s="6" t="s">
        <v>74</v>
      </c>
      <c r="Y421" s="6" t="s">
        <v>2239</v>
      </c>
    </row>
    <row r="422" spans="1:25" s="6" customFormat="1" ht="276">
      <c r="A422" s="6" t="s">
        <v>39</v>
      </c>
      <c r="B422" s="6">
        <v>18</v>
      </c>
      <c r="C422" s="7" t="s">
        <v>1283</v>
      </c>
      <c r="D422" s="6" t="s">
        <v>2240</v>
      </c>
      <c r="E422" s="6" t="s">
        <v>2164</v>
      </c>
      <c r="F422" s="6" t="s">
        <v>1568</v>
      </c>
      <c r="G422" s="6" t="s">
        <v>55</v>
      </c>
      <c r="H422" s="6" t="s">
        <v>325</v>
      </c>
      <c r="I422" s="7" t="s">
        <v>1931</v>
      </c>
      <c r="J422" s="7" t="s">
        <v>1931</v>
      </c>
      <c r="K422" s="6" t="s">
        <v>1812</v>
      </c>
      <c r="L422" s="6" t="s">
        <v>1589</v>
      </c>
      <c r="M422" s="8">
        <v>560</v>
      </c>
      <c r="N422" s="6" t="s">
        <v>2020</v>
      </c>
      <c r="O422" s="24">
        <v>1</v>
      </c>
      <c r="P422" s="8">
        <v>560</v>
      </c>
      <c r="Q422" s="6" t="s">
        <v>2020</v>
      </c>
      <c r="R422" s="6" t="s">
        <v>1560</v>
      </c>
      <c r="S422" s="6" t="s">
        <v>2165</v>
      </c>
      <c r="T422" s="10" t="s">
        <v>2241</v>
      </c>
      <c r="U422" s="10" t="s">
        <v>2130</v>
      </c>
      <c r="V422" s="6" t="s">
        <v>59</v>
      </c>
      <c r="W422" s="8">
        <v>6000</v>
      </c>
      <c r="X422" s="6" t="s">
        <v>74</v>
      </c>
    </row>
    <row r="423" spans="1:25" s="6" customFormat="1" ht="220.8">
      <c r="A423" s="6" t="s">
        <v>39</v>
      </c>
      <c r="B423" s="7" t="s">
        <v>2074</v>
      </c>
      <c r="C423" s="7" t="s">
        <v>555</v>
      </c>
      <c r="D423" s="6" t="s">
        <v>2242</v>
      </c>
      <c r="E423" s="6" t="s">
        <v>2243</v>
      </c>
      <c r="F423" s="6" t="s">
        <v>40</v>
      </c>
      <c r="G423" s="6" t="s">
        <v>55</v>
      </c>
      <c r="H423" s="6" t="s">
        <v>613</v>
      </c>
      <c r="I423" s="7" t="s">
        <v>1931</v>
      </c>
      <c r="J423" s="7" t="s">
        <v>2244</v>
      </c>
      <c r="K423" s="6">
        <v>12</v>
      </c>
      <c r="L423" s="6" t="s">
        <v>43</v>
      </c>
      <c r="M423" s="8">
        <v>14420</v>
      </c>
      <c r="N423" s="6" t="s">
        <v>2245</v>
      </c>
      <c r="O423" s="24">
        <v>1</v>
      </c>
      <c r="P423" s="8">
        <v>14420</v>
      </c>
      <c r="Q423" s="6" t="s">
        <v>2245</v>
      </c>
      <c r="R423" s="6" t="s">
        <v>2246</v>
      </c>
      <c r="S423" s="6" t="s">
        <v>2247</v>
      </c>
      <c r="T423" s="10" t="s">
        <v>2248</v>
      </c>
      <c r="U423" s="10" t="s">
        <v>2249</v>
      </c>
      <c r="V423" s="6" t="s">
        <v>59</v>
      </c>
      <c r="W423" s="8">
        <v>14420</v>
      </c>
      <c r="X423" s="6" t="s">
        <v>74</v>
      </c>
    </row>
    <row r="424" spans="1:25" s="6" customFormat="1" ht="207">
      <c r="A424" s="6" t="s">
        <v>39</v>
      </c>
      <c r="B424" s="7" t="s">
        <v>2074</v>
      </c>
      <c r="C424" s="7" t="s">
        <v>564</v>
      </c>
      <c r="D424" s="6" t="s">
        <v>2250</v>
      </c>
      <c r="E424" s="6" t="s">
        <v>2251</v>
      </c>
      <c r="F424" s="6" t="s">
        <v>40</v>
      </c>
      <c r="G424" s="6" t="s">
        <v>55</v>
      </c>
      <c r="H424" s="6" t="s">
        <v>768</v>
      </c>
      <c r="I424" s="7" t="s">
        <v>1775</v>
      </c>
      <c r="J424" s="7" t="s">
        <v>2168</v>
      </c>
      <c r="K424" s="6">
        <v>1</v>
      </c>
      <c r="L424" s="6" t="s">
        <v>43</v>
      </c>
      <c r="M424" s="8">
        <v>11400</v>
      </c>
      <c r="N424" s="6" t="s">
        <v>2252</v>
      </c>
      <c r="O424" s="24">
        <v>1</v>
      </c>
      <c r="P424" s="8">
        <v>11400</v>
      </c>
      <c r="Q424" s="6" t="s">
        <v>2252</v>
      </c>
      <c r="R424" s="6" t="s">
        <v>2253</v>
      </c>
      <c r="S424" s="6" t="s">
        <v>1213</v>
      </c>
      <c r="T424" s="10" t="s">
        <v>2254</v>
      </c>
      <c r="U424" s="10" t="s">
        <v>2255</v>
      </c>
      <c r="V424" s="6" t="s">
        <v>59</v>
      </c>
      <c r="W424" s="8">
        <v>11400</v>
      </c>
      <c r="X424" s="6" t="s">
        <v>74</v>
      </c>
    </row>
    <row r="425" spans="1:25" s="6" customFormat="1" ht="193.2">
      <c r="A425" s="26" t="s">
        <v>39</v>
      </c>
      <c r="B425" s="26">
        <v>18</v>
      </c>
      <c r="C425" s="27" t="s">
        <v>1304</v>
      </c>
      <c r="D425" s="26" t="s">
        <v>2256</v>
      </c>
      <c r="E425" s="26" t="s">
        <v>461</v>
      </c>
      <c r="F425" s="26" t="s">
        <v>461</v>
      </c>
      <c r="G425" s="26" t="s">
        <v>461</v>
      </c>
      <c r="H425" s="26" t="s">
        <v>461</v>
      </c>
      <c r="I425" s="26" t="s">
        <v>461</v>
      </c>
      <c r="J425" s="26" t="s">
        <v>461</v>
      </c>
      <c r="K425" s="26" t="s">
        <v>461</v>
      </c>
      <c r="L425" s="26" t="s">
        <v>461</v>
      </c>
      <c r="M425" s="26" t="s">
        <v>461</v>
      </c>
      <c r="N425" s="26" t="s">
        <v>461</v>
      </c>
      <c r="O425" s="26" t="s">
        <v>461</v>
      </c>
      <c r="P425" s="26" t="s">
        <v>461</v>
      </c>
      <c r="Q425" s="26" t="s">
        <v>461</v>
      </c>
      <c r="R425" s="26" t="s">
        <v>461</v>
      </c>
      <c r="S425" s="26" t="s">
        <v>461</v>
      </c>
      <c r="T425" s="26" t="s">
        <v>461</v>
      </c>
      <c r="U425" s="26" t="s">
        <v>461</v>
      </c>
      <c r="V425" s="26" t="s">
        <v>461</v>
      </c>
      <c r="W425" s="26" t="s">
        <v>461</v>
      </c>
      <c r="X425" s="26" t="s">
        <v>461</v>
      </c>
      <c r="Y425" s="26" t="s">
        <v>4096</v>
      </c>
    </row>
    <row r="426" spans="1:25" s="6" customFormat="1" ht="276">
      <c r="A426" s="6" t="s">
        <v>39</v>
      </c>
      <c r="B426" s="7" t="s">
        <v>2074</v>
      </c>
      <c r="C426" s="7" t="s">
        <v>573</v>
      </c>
      <c r="D426" s="6" t="s">
        <v>2257</v>
      </c>
      <c r="E426" s="6" t="s">
        <v>2258</v>
      </c>
      <c r="F426" s="6" t="s">
        <v>40</v>
      </c>
      <c r="G426" s="6" t="s">
        <v>55</v>
      </c>
      <c r="H426" s="6" t="s">
        <v>1476</v>
      </c>
      <c r="I426" s="7" t="s">
        <v>2259</v>
      </c>
      <c r="J426" s="7" t="s">
        <v>2259</v>
      </c>
      <c r="K426" s="6" t="s">
        <v>1199</v>
      </c>
      <c r="L426" s="6" t="s">
        <v>43</v>
      </c>
      <c r="M426" s="8">
        <v>10880</v>
      </c>
      <c r="N426" s="6" t="s">
        <v>2260</v>
      </c>
      <c r="O426" s="24">
        <v>1</v>
      </c>
      <c r="P426" s="8">
        <v>10880</v>
      </c>
      <c r="Q426" s="6" t="s">
        <v>2260</v>
      </c>
      <c r="R426" s="6" t="s">
        <v>291</v>
      </c>
      <c r="S426" s="6" t="s">
        <v>1328</v>
      </c>
      <c r="T426" s="10" t="s">
        <v>2261</v>
      </c>
      <c r="U426" s="10" t="s">
        <v>2262</v>
      </c>
      <c r="V426" s="6" t="s">
        <v>59</v>
      </c>
      <c r="W426" s="8">
        <v>53993338.109999999</v>
      </c>
      <c r="X426" s="6" t="s">
        <v>74</v>
      </c>
    </row>
    <row r="427" spans="1:25" s="43" customFormat="1" ht="409.6">
      <c r="A427" s="37" t="s">
        <v>39</v>
      </c>
      <c r="B427" s="37">
        <v>19</v>
      </c>
      <c r="C427" s="38" t="s">
        <v>80</v>
      </c>
      <c r="D427" s="37" t="s">
        <v>3726</v>
      </c>
      <c r="E427" s="37" t="s">
        <v>3727</v>
      </c>
      <c r="F427" s="52" t="s">
        <v>2880</v>
      </c>
      <c r="G427" s="37" t="s">
        <v>55</v>
      </c>
      <c r="H427" s="37" t="s">
        <v>1685</v>
      </c>
      <c r="I427" s="38" t="s">
        <v>2273</v>
      </c>
      <c r="J427" s="38" t="s">
        <v>3728</v>
      </c>
      <c r="K427" s="37">
        <v>37</v>
      </c>
      <c r="L427" s="37" t="s">
        <v>2998</v>
      </c>
      <c r="M427" s="39">
        <v>494500</v>
      </c>
      <c r="N427" s="37" t="s">
        <v>3729</v>
      </c>
      <c r="O427" s="50" t="s">
        <v>461</v>
      </c>
      <c r="P427" s="45" t="s">
        <v>461</v>
      </c>
      <c r="Q427" s="48" t="s">
        <v>461</v>
      </c>
      <c r="R427" s="37" t="s">
        <v>1509</v>
      </c>
      <c r="S427" s="37" t="s">
        <v>3628</v>
      </c>
      <c r="T427" s="41" t="s">
        <v>3730</v>
      </c>
      <c r="U427" s="41" t="s">
        <v>3731</v>
      </c>
      <c r="V427" s="37" t="s">
        <v>59</v>
      </c>
      <c r="W427" s="45" t="s">
        <v>461</v>
      </c>
      <c r="X427" s="37" t="s">
        <v>3732</v>
      </c>
      <c r="Y427" s="37" t="s">
        <v>3733</v>
      </c>
    </row>
    <row r="428" spans="1:25" s="6" customFormat="1" ht="289.8">
      <c r="A428" s="6" t="s">
        <v>39</v>
      </c>
      <c r="B428" s="7" t="s">
        <v>2263</v>
      </c>
      <c r="C428" s="7" t="s">
        <v>93</v>
      </c>
      <c r="D428" s="6" t="s">
        <v>2264</v>
      </c>
      <c r="E428" s="6" t="s">
        <v>2265</v>
      </c>
      <c r="F428" s="6" t="s">
        <v>40</v>
      </c>
      <c r="G428" s="6" t="s">
        <v>55</v>
      </c>
      <c r="H428" s="6" t="s">
        <v>1369</v>
      </c>
      <c r="I428" s="7" t="s">
        <v>2059</v>
      </c>
      <c r="J428" s="7" t="s">
        <v>2341</v>
      </c>
      <c r="K428" s="6">
        <v>5</v>
      </c>
      <c r="L428" s="6" t="s">
        <v>43</v>
      </c>
      <c r="M428" s="8">
        <v>40000</v>
      </c>
      <c r="N428" s="6" t="s">
        <v>3737</v>
      </c>
      <c r="O428" s="24">
        <v>1</v>
      </c>
      <c r="P428" s="8">
        <v>0</v>
      </c>
      <c r="Q428" s="6" t="s">
        <v>2143</v>
      </c>
      <c r="R428" s="6" t="s">
        <v>3621</v>
      </c>
      <c r="S428" s="6" t="s">
        <v>3734</v>
      </c>
      <c r="T428" s="10" t="s">
        <v>3735</v>
      </c>
      <c r="U428" s="10" t="s">
        <v>3736</v>
      </c>
      <c r="V428" s="6" t="s">
        <v>59</v>
      </c>
      <c r="W428" s="8">
        <v>40000</v>
      </c>
      <c r="X428" s="6" t="s">
        <v>74</v>
      </c>
      <c r="Y428" s="6" t="s">
        <v>3738</v>
      </c>
    </row>
    <row r="429" spans="1:25" s="6" customFormat="1" ht="220.8">
      <c r="A429" s="6" t="s">
        <v>39</v>
      </c>
      <c r="B429" s="6">
        <v>19</v>
      </c>
      <c r="C429" s="7" t="s">
        <v>104</v>
      </c>
      <c r="D429" s="6" t="s">
        <v>2266</v>
      </c>
      <c r="E429" s="6" t="s">
        <v>2267</v>
      </c>
      <c r="F429" s="6" t="s">
        <v>1278</v>
      </c>
      <c r="G429" s="6" t="s">
        <v>55</v>
      </c>
      <c r="H429" s="6" t="s">
        <v>214</v>
      </c>
      <c r="I429" s="7" t="s">
        <v>2059</v>
      </c>
      <c r="J429" s="7" t="s">
        <v>2268</v>
      </c>
      <c r="K429" s="6">
        <v>12</v>
      </c>
      <c r="L429" s="6" t="s">
        <v>43</v>
      </c>
      <c r="M429" s="8">
        <v>111140</v>
      </c>
      <c r="N429" s="6" t="s">
        <v>2269</v>
      </c>
      <c r="O429" s="24">
        <v>1</v>
      </c>
      <c r="P429" s="8">
        <v>111140</v>
      </c>
      <c r="Q429" s="6" t="s">
        <v>2269</v>
      </c>
      <c r="R429" s="6" t="s">
        <v>1522</v>
      </c>
      <c r="S429" s="6" t="s">
        <v>1523</v>
      </c>
      <c r="T429" s="10" t="s">
        <v>2270</v>
      </c>
      <c r="U429" s="10" t="s">
        <v>2271</v>
      </c>
      <c r="V429" s="6" t="s">
        <v>59</v>
      </c>
      <c r="W429" s="8">
        <v>111140</v>
      </c>
      <c r="X429" s="6" t="s">
        <v>74</v>
      </c>
    </row>
    <row r="430" spans="1:25" s="6" customFormat="1" ht="276">
      <c r="A430" s="6" t="s">
        <v>39</v>
      </c>
      <c r="B430" s="7" t="s">
        <v>2263</v>
      </c>
      <c r="C430" s="7" t="s">
        <v>113</v>
      </c>
      <c r="D430" s="6" t="s">
        <v>2272</v>
      </c>
      <c r="E430" s="6" t="s">
        <v>2279</v>
      </c>
      <c r="F430" s="6" t="s">
        <v>40</v>
      </c>
      <c r="G430" s="6" t="s">
        <v>54</v>
      </c>
      <c r="H430" s="6" t="s">
        <v>49</v>
      </c>
      <c r="I430" s="7" t="s">
        <v>2059</v>
      </c>
      <c r="J430" s="7" t="s">
        <v>2273</v>
      </c>
      <c r="K430" s="6">
        <v>1</v>
      </c>
      <c r="L430" s="6" t="s">
        <v>1576</v>
      </c>
      <c r="M430" s="8">
        <v>35736.620000000003</v>
      </c>
      <c r="N430" s="6" t="s">
        <v>2274</v>
      </c>
      <c r="O430" s="24">
        <v>1</v>
      </c>
      <c r="P430" s="8">
        <v>35736.620000000003</v>
      </c>
      <c r="Q430" s="6" t="s">
        <v>2274</v>
      </c>
      <c r="R430" s="6" t="s">
        <v>2275</v>
      </c>
      <c r="S430" s="6" t="s">
        <v>2276</v>
      </c>
      <c r="T430" s="10" t="s">
        <v>2277</v>
      </c>
      <c r="U430" s="10" t="s">
        <v>2278</v>
      </c>
      <c r="V430" s="6">
        <v>53.8</v>
      </c>
      <c r="W430" s="8">
        <v>1533352803.8900001</v>
      </c>
      <c r="X430" s="6" t="s">
        <v>74</v>
      </c>
    </row>
    <row r="431" spans="1:25" s="6" customFormat="1" ht="276">
      <c r="A431" s="6" t="s">
        <v>39</v>
      </c>
      <c r="B431" s="6">
        <v>19</v>
      </c>
      <c r="C431" s="7" t="s">
        <v>167</v>
      </c>
      <c r="D431" s="6" t="s">
        <v>2280</v>
      </c>
      <c r="E431" s="6" t="s">
        <v>2281</v>
      </c>
      <c r="F431" s="6" t="s">
        <v>1568</v>
      </c>
      <c r="G431" s="6" t="s">
        <v>55</v>
      </c>
      <c r="H431" s="6" t="s">
        <v>158</v>
      </c>
      <c r="I431" s="7" t="s">
        <v>2282</v>
      </c>
      <c r="J431" s="7" t="s">
        <v>2282</v>
      </c>
      <c r="K431" s="6" t="s">
        <v>1199</v>
      </c>
      <c r="L431" s="6" t="s">
        <v>1589</v>
      </c>
      <c r="M431" s="8">
        <v>1000</v>
      </c>
      <c r="N431" s="6" t="s">
        <v>2283</v>
      </c>
      <c r="O431" s="24">
        <v>1</v>
      </c>
      <c r="P431" s="8">
        <v>1000</v>
      </c>
      <c r="Q431" s="6" t="s">
        <v>2283</v>
      </c>
      <c r="R431" s="6" t="s">
        <v>2284</v>
      </c>
      <c r="S431" s="6" t="s">
        <v>2285</v>
      </c>
      <c r="T431" s="10" t="s">
        <v>2286</v>
      </c>
      <c r="U431" s="10" t="s">
        <v>2287</v>
      </c>
      <c r="V431" s="6" t="s">
        <v>59</v>
      </c>
      <c r="W431" s="8">
        <v>1000</v>
      </c>
      <c r="X431" s="6" t="s">
        <v>74</v>
      </c>
    </row>
    <row r="432" spans="1:25" s="6" customFormat="1" ht="358.8">
      <c r="A432" s="6" t="s">
        <v>39</v>
      </c>
      <c r="B432" s="7" t="s">
        <v>2263</v>
      </c>
      <c r="C432" s="7" t="s">
        <v>176</v>
      </c>
      <c r="D432" s="6" t="s">
        <v>2288</v>
      </c>
      <c r="E432" s="6" t="s">
        <v>2289</v>
      </c>
      <c r="F432" s="6" t="s">
        <v>40</v>
      </c>
      <c r="G432" s="6" t="s">
        <v>55</v>
      </c>
      <c r="H432" s="6" t="s">
        <v>1685</v>
      </c>
      <c r="I432" s="7" t="s">
        <v>2282</v>
      </c>
      <c r="J432" s="7" t="s">
        <v>2282</v>
      </c>
      <c r="K432" s="6" t="s">
        <v>1199</v>
      </c>
      <c r="L432" s="6" t="s">
        <v>43</v>
      </c>
      <c r="M432" s="8">
        <v>23400</v>
      </c>
      <c r="N432" s="6" t="s">
        <v>2290</v>
      </c>
      <c r="O432" s="24">
        <v>1</v>
      </c>
      <c r="P432" s="8">
        <v>23400</v>
      </c>
      <c r="Q432" s="6" t="s">
        <v>2290</v>
      </c>
      <c r="R432" s="6" t="s">
        <v>2291</v>
      </c>
      <c r="S432" s="6" t="s">
        <v>2292</v>
      </c>
      <c r="T432" s="10" t="s">
        <v>2293</v>
      </c>
      <c r="U432" s="10" t="s">
        <v>2294</v>
      </c>
      <c r="V432" s="6" t="s">
        <v>59</v>
      </c>
      <c r="W432" s="8">
        <v>2790000</v>
      </c>
      <c r="X432" s="6" t="s">
        <v>74</v>
      </c>
    </row>
    <row r="433" spans="1:25" s="6" customFormat="1" ht="165.6">
      <c r="A433" s="26" t="s">
        <v>39</v>
      </c>
      <c r="B433" s="27" t="s">
        <v>2263</v>
      </c>
      <c r="C433" s="27" t="s">
        <v>183</v>
      </c>
      <c r="D433" s="26" t="s">
        <v>2295</v>
      </c>
      <c r="E433" s="26" t="s">
        <v>461</v>
      </c>
      <c r="F433" s="26" t="s">
        <v>461</v>
      </c>
      <c r="G433" s="26" t="s">
        <v>461</v>
      </c>
      <c r="H433" s="26" t="s">
        <v>461</v>
      </c>
      <c r="I433" s="26" t="s">
        <v>461</v>
      </c>
      <c r="J433" s="26" t="s">
        <v>461</v>
      </c>
      <c r="K433" s="26" t="s">
        <v>461</v>
      </c>
      <c r="L433" s="26" t="s">
        <v>461</v>
      </c>
      <c r="M433" s="26" t="s">
        <v>461</v>
      </c>
      <c r="N433" s="26" t="s">
        <v>461</v>
      </c>
      <c r="O433" s="26" t="s">
        <v>461</v>
      </c>
      <c r="P433" s="26" t="s">
        <v>461</v>
      </c>
      <c r="Q433" s="26" t="s">
        <v>461</v>
      </c>
      <c r="R433" s="26" t="s">
        <v>461</v>
      </c>
      <c r="S433" s="26" t="s">
        <v>461</v>
      </c>
      <c r="T433" s="26" t="s">
        <v>461</v>
      </c>
      <c r="U433" s="26" t="s">
        <v>461</v>
      </c>
      <c r="V433" s="26" t="s">
        <v>461</v>
      </c>
      <c r="W433" s="26" t="s">
        <v>461</v>
      </c>
      <c r="X433" s="26" t="s">
        <v>4097</v>
      </c>
    </row>
    <row r="434" spans="1:25" s="6" customFormat="1" ht="289.8">
      <c r="A434" s="6" t="s">
        <v>39</v>
      </c>
      <c r="B434" s="6">
        <v>19</v>
      </c>
      <c r="C434" s="7" t="s">
        <v>114</v>
      </c>
      <c r="D434" s="6" t="s">
        <v>2296</v>
      </c>
      <c r="E434" s="6" t="s">
        <v>2297</v>
      </c>
      <c r="F434" s="6" t="s">
        <v>1568</v>
      </c>
      <c r="G434" s="6" t="s">
        <v>55</v>
      </c>
      <c r="H434" s="6" t="s">
        <v>202</v>
      </c>
      <c r="I434" s="7" t="s">
        <v>2298</v>
      </c>
      <c r="J434" s="7" t="s">
        <v>1901</v>
      </c>
      <c r="K434" s="6">
        <v>3</v>
      </c>
      <c r="L434" s="6" t="s">
        <v>1589</v>
      </c>
      <c r="M434" s="8">
        <v>17847.5</v>
      </c>
      <c r="N434" s="6" t="s">
        <v>2300</v>
      </c>
      <c r="O434" s="24">
        <v>1</v>
      </c>
      <c r="P434" s="8">
        <v>17847.5</v>
      </c>
      <c r="Q434" s="6" t="s">
        <v>2300</v>
      </c>
      <c r="R434" s="6" t="s">
        <v>2301</v>
      </c>
      <c r="S434" s="6" t="s">
        <v>2299</v>
      </c>
      <c r="T434" s="10" t="s">
        <v>2302</v>
      </c>
      <c r="U434" s="10" t="s">
        <v>2303</v>
      </c>
      <c r="V434" s="6" t="s">
        <v>59</v>
      </c>
      <c r="W434" s="8">
        <v>2249748.69</v>
      </c>
      <c r="X434" s="6" t="s">
        <v>74</v>
      </c>
    </row>
    <row r="435" spans="1:25" s="6" customFormat="1" ht="331.2">
      <c r="A435" s="6" t="s">
        <v>39</v>
      </c>
      <c r="B435" s="6">
        <v>19</v>
      </c>
      <c r="C435" s="7" t="s">
        <v>125</v>
      </c>
      <c r="D435" s="6" t="s">
        <v>2304</v>
      </c>
      <c r="E435" s="6" t="s">
        <v>2305</v>
      </c>
      <c r="F435" s="6" t="s">
        <v>1568</v>
      </c>
      <c r="G435" s="6" t="s">
        <v>55</v>
      </c>
      <c r="H435" s="6" t="s">
        <v>650</v>
      </c>
      <c r="I435" s="7" t="s">
        <v>2282</v>
      </c>
      <c r="J435" s="7" t="s">
        <v>2298</v>
      </c>
      <c r="K435" s="6" t="s">
        <v>2087</v>
      </c>
      <c r="L435" s="6" t="s">
        <v>1589</v>
      </c>
      <c r="M435" s="8">
        <v>690</v>
      </c>
      <c r="N435" s="6" t="s">
        <v>2306</v>
      </c>
      <c r="O435" s="24">
        <v>1</v>
      </c>
      <c r="P435" s="8">
        <v>690</v>
      </c>
      <c r="Q435" s="6" t="s">
        <v>2306</v>
      </c>
      <c r="R435" s="6" t="s">
        <v>1560</v>
      </c>
      <c r="S435" s="6" t="s">
        <v>2089</v>
      </c>
      <c r="T435" s="10" t="s">
        <v>2308</v>
      </c>
      <c r="U435" s="10" t="s">
        <v>2307</v>
      </c>
      <c r="V435" s="6" t="s">
        <v>59</v>
      </c>
      <c r="W435" s="8">
        <v>12321.99</v>
      </c>
      <c r="X435" s="6" t="s">
        <v>74</v>
      </c>
    </row>
    <row r="436" spans="1:25" s="6" customFormat="1" ht="262.2">
      <c r="A436" s="6" t="s">
        <v>39</v>
      </c>
      <c r="B436" s="7" t="s">
        <v>2263</v>
      </c>
      <c r="C436" s="7" t="s">
        <v>134</v>
      </c>
      <c r="D436" s="6" t="s">
        <v>2309</v>
      </c>
      <c r="E436" s="6" t="s">
        <v>2310</v>
      </c>
      <c r="F436" s="6" t="s">
        <v>40</v>
      </c>
      <c r="G436" s="6" t="s">
        <v>55</v>
      </c>
      <c r="H436" s="6" t="s">
        <v>2311</v>
      </c>
      <c r="I436" s="7" t="s">
        <v>2298</v>
      </c>
      <c r="J436" s="7" t="s">
        <v>2298</v>
      </c>
      <c r="K436" s="6" t="s">
        <v>1199</v>
      </c>
      <c r="L436" s="6" t="s">
        <v>43</v>
      </c>
      <c r="M436" s="8">
        <v>7300</v>
      </c>
      <c r="N436" s="6" t="s">
        <v>2314</v>
      </c>
      <c r="O436" s="24">
        <v>1</v>
      </c>
      <c r="P436" s="8">
        <v>7300</v>
      </c>
      <c r="Q436" s="6" t="s">
        <v>2314</v>
      </c>
      <c r="R436" s="6" t="s">
        <v>291</v>
      </c>
      <c r="S436" s="6" t="s">
        <v>1328</v>
      </c>
      <c r="T436" s="10" t="s">
        <v>2312</v>
      </c>
      <c r="U436" s="10" t="s">
        <v>2313</v>
      </c>
      <c r="V436" s="6" t="s">
        <v>59</v>
      </c>
      <c r="W436" s="8">
        <v>20159523.399999999</v>
      </c>
      <c r="X436" s="6" t="s">
        <v>74</v>
      </c>
    </row>
    <row r="437" spans="1:25" s="6" customFormat="1" ht="138">
      <c r="A437" s="6" t="s">
        <v>39</v>
      </c>
      <c r="B437" s="7" t="s">
        <v>2263</v>
      </c>
      <c r="C437" s="7" t="s">
        <v>191</v>
      </c>
      <c r="D437" s="6" t="s">
        <v>2315</v>
      </c>
      <c r="E437" s="6" t="s">
        <v>2316</v>
      </c>
      <c r="F437" s="6" t="s">
        <v>40</v>
      </c>
      <c r="G437" s="6" t="s">
        <v>55</v>
      </c>
      <c r="H437" s="6" t="s">
        <v>56</v>
      </c>
      <c r="I437" s="7" t="s">
        <v>2298</v>
      </c>
      <c r="J437" s="7" t="s">
        <v>1901</v>
      </c>
      <c r="K437" s="6">
        <v>3</v>
      </c>
      <c r="L437" s="6" t="s">
        <v>43</v>
      </c>
      <c r="M437" s="8">
        <v>4850</v>
      </c>
      <c r="N437" s="6" t="s">
        <v>2317</v>
      </c>
      <c r="O437" s="24">
        <v>1</v>
      </c>
      <c r="P437" s="8">
        <v>4850</v>
      </c>
      <c r="Q437" s="6" t="s">
        <v>2317</v>
      </c>
      <c r="R437" s="6" t="s">
        <v>2318</v>
      </c>
      <c r="S437" s="6" t="s">
        <v>2319</v>
      </c>
      <c r="T437" s="10" t="s">
        <v>2320</v>
      </c>
      <c r="U437" s="10" t="s">
        <v>2321</v>
      </c>
      <c r="V437" s="6">
        <v>1.7</v>
      </c>
      <c r="W437" s="8">
        <v>81114010</v>
      </c>
      <c r="X437" s="6" t="s">
        <v>74</v>
      </c>
    </row>
    <row r="438" spans="1:25" s="6" customFormat="1" ht="151.80000000000001">
      <c r="A438" s="6" t="s">
        <v>39</v>
      </c>
      <c r="B438" s="7" t="s">
        <v>2263</v>
      </c>
      <c r="C438" s="7" t="s">
        <v>191</v>
      </c>
      <c r="D438" s="6" t="s">
        <v>2315</v>
      </c>
      <c r="E438" s="6" t="s">
        <v>2316</v>
      </c>
      <c r="F438" s="6" t="s">
        <v>40</v>
      </c>
      <c r="G438" s="6" t="s">
        <v>55</v>
      </c>
      <c r="H438" s="6" t="s">
        <v>56</v>
      </c>
      <c r="I438" s="7" t="s">
        <v>2244</v>
      </c>
      <c r="J438" s="7" t="s">
        <v>2244</v>
      </c>
      <c r="K438" s="6">
        <v>1</v>
      </c>
      <c r="L438" s="6" t="s">
        <v>43</v>
      </c>
      <c r="M438" s="8">
        <v>5600</v>
      </c>
      <c r="N438" s="6" t="s">
        <v>2322</v>
      </c>
      <c r="O438" s="24">
        <v>1</v>
      </c>
      <c r="P438" s="8">
        <v>5600</v>
      </c>
      <c r="Q438" s="6" t="s">
        <v>2322</v>
      </c>
      <c r="R438" s="6" t="s">
        <v>2318</v>
      </c>
      <c r="S438" s="6" t="s">
        <v>2319</v>
      </c>
      <c r="T438" s="10" t="s">
        <v>2323</v>
      </c>
      <c r="U438" s="10" t="s">
        <v>2324</v>
      </c>
      <c r="V438" s="6">
        <v>1.7</v>
      </c>
      <c r="W438" s="8">
        <v>81114010</v>
      </c>
      <c r="X438" s="6" t="s">
        <v>74</v>
      </c>
    </row>
    <row r="439" spans="1:25" s="43" customFormat="1" ht="303.60000000000002">
      <c r="A439" s="37" t="s">
        <v>39</v>
      </c>
      <c r="B439" s="37">
        <v>19</v>
      </c>
      <c r="C439" s="38" t="s">
        <v>273</v>
      </c>
      <c r="D439" s="37" t="s">
        <v>3739</v>
      </c>
      <c r="E439" s="37" t="s">
        <v>3740</v>
      </c>
      <c r="F439" s="52" t="s">
        <v>2880</v>
      </c>
      <c r="G439" s="37" t="s">
        <v>55</v>
      </c>
      <c r="H439" s="37" t="s">
        <v>158</v>
      </c>
      <c r="I439" s="38" t="s">
        <v>2244</v>
      </c>
      <c r="J439" s="38" t="s">
        <v>2860</v>
      </c>
      <c r="K439" s="37">
        <v>53</v>
      </c>
      <c r="L439" s="37" t="s">
        <v>2998</v>
      </c>
      <c r="M439" s="39">
        <v>2471199.7000000002</v>
      </c>
      <c r="N439" s="37" t="s">
        <v>3741</v>
      </c>
      <c r="O439" s="50" t="s">
        <v>461</v>
      </c>
      <c r="P439" s="45" t="s">
        <v>461</v>
      </c>
      <c r="Q439" s="48" t="s">
        <v>461</v>
      </c>
      <c r="R439" s="37" t="s">
        <v>3742</v>
      </c>
      <c r="S439" s="37" t="s">
        <v>3743</v>
      </c>
      <c r="T439" s="41" t="s">
        <v>3744</v>
      </c>
      <c r="U439" s="41" t="s">
        <v>3745</v>
      </c>
      <c r="V439" s="37" t="s">
        <v>59</v>
      </c>
      <c r="W439" s="45" t="s">
        <v>461</v>
      </c>
      <c r="X439" s="37" t="s">
        <v>74</v>
      </c>
      <c r="Y439" s="37" t="s">
        <v>4098</v>
      </c>
    </row>
    <row r="440" spans="1:25" s="6" customFormat="1" ht="262.2">
      <c r="A440" s="6" t="s">
        <v>39</v>
      </c>
      <c r="B440" s="7" t="s">
        <v>2263</v>
      </c>
      <c r="C440" s="7" t="s">
        <v>192</v>
      </c>
      <c r="D440" s="6" t="s">
        <v>2325</v>
      </c>
      <c r="E440" s="6" t="s">
        <v>2326</v>
      </c>
      <c r="F440" s="6" t="s">
        <v>40</v>
      </c>
      <c r="G440" s="6" t="s">
        <v>47</v>
      </c>
      <c r="H440" s="6" t="s">
        <v>1685</v>
      </c>
      <c r="I440" s="7" t="s">
        <v>2298</v>
      </c>
      <c r="J440" s="7" t="s">
        <v>2298</v>
      </c>
      <c r="K440" s="7" t="s">
        <v>1671</v>
      </c>
      <c r="L440" s="6" t="s">
        <v>43</v>
      </c>
      <c r="M440" s="8">
        <v>10000</v>
      </c>
      <c r="N440" s="6" t="s">
        <v>2327</v>
      </c>
      <c r="O440" s="24">
        <v>1</v>
      </c>
      <c r="P440" s="8">
        <v>10000</v>
      </c>
      <c r="Q440" s="6" t="s">
        <v>2327</v>
      </c>
      <c r="R440" s="6" t="s">
        <v>51</v>
      </c>
      <c r="S440" s="6" t="s">
        <v>2328</v>
      </c>
      <c r="T440" s="10" t="s">
        <v>2329</v>
      </c>
      <c r="U440" s="10" t="s">
        <v>2330</v>
      </c>
      <c r="V440" s="6">
        <v>1.9</v>
      </c>
      <c r="W440" s="8">
        <v>159985780.03999999</v>
      </c>
      <c r="X440" s="6" t="s">
        <v>74</v>
      </c>
    </row>
    <row r="441" spans="1:25" s="6" customFormat="1" ht="409.6">
      <c r="A441" s="6" t="s">
        <v>39</v>
      </c>
      <c r="B441" s="7" t="s">
        <v>2263</v>
      </c>
      <c r="C441" s="7" t="s">
        <v>201</v>
      </c>
      <c r="D441" s="6" t="s">
        <v>2331</v>
      </c>
      <c r="E441" s="6" t="s">
        <v>2332</v>
      </c>
      <c r="F441" s="6" t="s">
        <v>40</v>
      </c>
      <c r="G441" s="6" t="s">
        <v>48</v>
      </c>
      <c r="H441" s="6" t="s">
        <v>2333</v>
      </c>
      <c r="I441" s="7" t="s">
        <v>1901</v>
      </c>
      <c r="J441" s="7" t="s">
        <v>2207</v>
      </c>
      <c r="K441" s="7" t="s">
        <v>1142</v>
      </c>
      <c r="L441" s="6" t="s">
        <v>43</v>
      </c>
      <c r="M441" s="8">
        <v>37167.919999999998</v>
      </c>
      <c r="N441" s="6" t="s">
        <v>2337</v>
      </c>
      <c r="O441" s="24">
        <v>1</v>
      </c>
      <c r="P441" s="8">
        <v>371678.92</v>
      </c>
      <c r="Q441" s="6" t="s">
        <v>2337</v>
      </c>
      <c r="R441" s="6" t="s">
        <v>2275</v>
      </c>
      <c r="S441" s="6" t="s">
        <v>2335</v>
      </c>
      <c r="T441" s="10" t="s">
        <v>2336</v>
      </c>
      <c r="U441" s="10" t="s">
        <v>2338</v>
      </c>
      <c r="V441" s="6">
        <v>4</v>
      </c>
      <c r="W441" s="8">
        <v>68800459.159999996</v>
      </c>
      <c r="X441" s="6" t="s">
        <v>58</v>
      </c>
    </row>
    <row r="442" spans="1:25" s="6" customFormat="1" ht="276">
      <c r="A442" s="6" t="s">
        <v>39</v>
      </c>
      <c r="B442" s="7" t="s">
        <v>2263</v>
      </c>
      <c r="C442" s="7" t="s">
        <v>285</v>
      </c>
      <c r="D442" s="6" t="s">
        <v>2339</v>
      </c>
      <c r="E442" s="6" t="s">
        <v>2340</v>
      </c>
      <c r="F442" s="6" t="s">
        <v>40</v>
      </c>
      <c r="G442" s="28" t="s">
        <v>55</v>
      </c>
      <c r="H442" s="6" t="s">
        <v>158</v>
      </c>
      <c r="I442" s="7" t="s">
        <v>2341</v>
      </c>
      <c r="J442" s="7" t="s">
        <v>1901</v>
      </c>
      <c r="K442" s="7" t="s">
        <v>1313</v>
      </c>
      <c r="L442" s="6" t="s">
        <v>43</v>
      </c>
      <c r="M442" s="8">
        <v>8910</v>
      </c>
      <c r="N442" s="6" t="s">
        <v>2342</v>
      </c>
      <c r="O442" s="24">
        <v>1</v>
      </c>
      <c r="P442" s="8">
        <v>8910</v>
      </c>
      <c r="Q442" s="6" t="s">
        <v>2342</v>
      </c>
      <c r="R442" s="6" t="s">
        <v>291</v>
      </c>
      <c r="S442" s="6" t="s">
        <v>1328</v>
      </c>
      <c r="T442" s="10" t="s">
        <v>2343</v>
      </c>
      <c r="U442" s="10" t="s">
        <v>2313</v>
      </c>
      <c r="V442" s="6" t="s">
        <v>59</v>
      </c>
      <c r="W442" s="8">
        <v>13452827.15</v>
      </c>
      <c r="X442" s="6" t="s">
        <v>74</v>
      </c>
    </row>
    <row r="443" spans="1:25" s="6" customFormat="1" ht="276">
      <c r="A443" s="6" t="s">
        <v>39</v>
      </c>
      <c r="B443" s="6">
        <v>19</v>
      </c>
      <c r="C443" s="7" t="s">
        <v>295</v>
      </c>
      <c r="D443" s="6" t="s">
        <v>2344</v>
      </c>
      <c r="E443" s="6" t="s">
        <v>2346</v>
      </c>
      <c r="F443" s="6" t="s">
        <v>1568</v>
      </c>
      <c r="G443" s="6" t="s">
        <v>55</v>
      </c>
      <c r="H443" s="6" t="s">
        <v>158</v>
      </c>
      <c r="I443" s="7" t="s">
        <v>2341</v>
      </c>
      <c r="J443" s="7" t="s">
        <v>2341</v>
      </c>
      <c r="K443" s="6" t="s">
        <v>2345</v>
      </c>
      <c r="L443" s="6" t="s">
        <v>1589</v>
      </c>
      <c r="M443" s="8">
        <v>280</v>
      </c>
      <c r="N443" s="6" t="s">
        <v>2347</v>
      </c>
      <c r="O443" s="24">
        <v>1</v>
      </c>
      <c r="P443" s="8">
        <v>280</v>
      </c>
      <c r="Q443" s="6" t="s">
        <v>2347</v>
      </c>
      <c r="R443" s="6" t="s">
        <v>1560</v>
      </c>
      <c r="S443" s="6" t="s">
        <v>2165</v>
      </c>
      <c r="T443" s="10" t="s">
        <v>2348</v>
      </c>
      <c r="U443" s="10" t="s">
        <v>2349</v>
      </c>
      <c r="V443" s="6" t="s">
        <v>59</v>
      </c>
      <c r="W443" s="8">
        <v>280</v>
      </c>
      <c r="X443" s="6" t="s">
        <v>74</v>
      </c>
    </row>
    <row r="444" spans="1:25" s="6" customFormat="1" ht="276">
      <c r="A444" s="6" t="s">
        <v>39</v>
      </c>
      <c r="B444" s="6">
        <v>19</v>
      </c>
      <c r="C444" s="7" t="s">
        <v>295</v>
      </c>
      <c r="D444" s="6" t="s">
        <v>2344</v>
      </c>
      <c r="E444" s="6" t="s">
        <v>2350</v>
      </c>
      <c r="F444" s="6" t="s">
        <v>1568</v>
      </c>
      <c r="G444" s="6" t="s">
        <v>55</v>
      </c>
      <c r="H444" s="6" t="s">
        <v>158</v>
      </c>
      <c r="I444" s="7" t="s">
        <v>2341</v>
      </c>
      <c r="J444" s="7" t="s">
        <v>2341</v>
      </c>
      <c r="K444" s="6" t="s">
        <v>2345</v>
      </c>
      <c r="L444" s="6" t="s">
        <v>1589</v>
      </c>
      <c r="M444" s="8">
        <v>280</v>
      </c>
      <c r="N444" s="6" t="s">
        <v>2347</v>
      </c>
      <c r="O444" s="24">
        <v>1</v>
      </c>
      <c r="P444" s="8">
        <v>280</v>
      </c>
      <c r="Q444" s="6" t="s">
        <v>2347</v>
      </c>
      <c r="R444" s="6" t="s">
        <v>1560</v>
      </c>
      <c r="S444" s="6" t="s">
        <v>2165</v>
      </c>
      <c r="T444" s="10" t="s">
        <v>2348</v>
      </c>
      <c r="U444" s="10" t="s">
        <v>2351</v>
      </c>
      <c r="V444" s="6" t="s">
        <v>59</v>
      </c>
      <c r="W444" s="8">
        <v>280</v>
      </c>
      <c r="X444" s="6" t="s">
        <v>74</v>
      </c>
    </row>
    <row r="445" spans="1:25" s="6" customFormat="1" ht="276">
      <c r="A445" s="6" t="s">
        <v>39</v>
      </c>
      <c r="B445" s="6">
        <v>19</v>
      </c>
      <c r="C445" s="7" t="s">
        <v>295</v>
      </c>
      <c r="D445" s="6" t="s">
        <v>2344</v>
      </c>
      <c r="E445" s="6" t="s">
        <v>2352</v>
      </c>
      <c r="F445" s="6" t="s">
        <v>1568</v>
      </c>
      <c r="G445" s="6" t="s">
        <v>55</v>
      </c>
      <c r="H445" s="6" t="s">
        <v>158</v>
      </c>
      <c r="I445" s="7" t="s">
        <v>2341</v>
      </c>
      <c r="J445" s="7" t="s">
        <v>2341</v>
      </c>
      <c r="K445" s="6" t="s">
        <v>2345</v>
      </c>
      <c r="L445" s="6" t="s">
        <v>1589</v>
      </c>
      <c r="M445" s="8">
        <v>280</v>
      </c>
      <c r="N445" s="6" t="s">
        <v>2347</v>
      </c>
      <c r="O445" s="24">
        <v>1</v>
      </c>
      <c r="P445" s="8">
        <v>280</v>
      </c>
      <c r="Q445" s="6" t="s">
        <v>2347</v>
      </c>
      <c r="R445" s="6" t="s">
        <v>1560</v>
      </c>
      <c r="S445" s="6" t="s">
        <v>2165</v>
      </c>
      <c r="T445" s="10" t="s">
        <v>2348</v>
      </c>
      <c r="U445" s="10" t="s">
        <v>2353</v>
      </c>
      <c r="V445" s="6" t="s">
        <v>59</v>
      </c>
      <c r="W445" s="8">
        <v>280</v>
      </c>
      <c r="X445" s="6" t="s">
        <v>74</v>
      </c>
    </row>
    <row r="446" spans="1:25" s="43" customFormat="1" ht="303.60000000000002">
      <c r="A446" s="37" t="s">
        <v>39</v>
      </c>
      <c r="B446" s="37">
        <v>19</v>
      </c>
      <c r="C446" s="38" t="s">
        <v>305</v>
      </c>
      <c r="D446" s="37" t="s">
        <v>2877</v>
      </c>
      <c r="E446" s="37" t="s">
        <v>2878</v>
      </c>
      <c r="F446" s="37" t="s">
        <v>2880</v>
      </c>
      <c r="G446" s="37" t="s">
        <v>55</v>
      </c>
      <c r="H446" s="37" t="s">
        <v>1685</v>
      </c>
      <c r="I446" s="38" t="s">
        <v>1901</v>
      </c>
      <c r="J446" s="38" t="s">
        <v>2530</v>
      </c>
      <c r="K446" s="37">
        <v>24</v>
      </c>
      <c r="L446" s="37" t="s">
        <v>2906</v>
      </c>
      <c r="M446" s="39">
        <v>147900</v>
      </c>
      <c r="N446" s="37" t="s">
        <v>2881</v>
      </c>
      <c r="O446" s="40">
        <v>1</v>
      </c>
      <c r="P446" s="39">
        <v>112933.5</v>
      </c>
      <c r="Q446" s="37" t="s">
        <v>2886</v>
      </c>
      <c r="R446" s="37" t="s">
        <v>1509</v>
      </c>
      <c r="S446" s="37" t="s">
        <v>2882</v>
      </c>
      <c r="T446" s="41" t="s">
        <v>2883</v>
      </c>
      <c r="U446" s="41" t="s">
        <v>2884</v>
      </c>
      <c r="V446" s="37" t="s">
        <v>59</v>
      </c>
      <c r="W446" s="39">
        <v>147900</v>
      </c>
      <c r="X446" s="37" t="s">
        <v>74</v>
      </c>
      <c r="Y446" s="37" t="s">
        <v>2885</v>
      </c>
    </row>
    <row r="447" spans="1:25" s="6" customFormat="1" ht="110.4">
      <c r="A447" s="26" t="s">
        <v>39</v>
      </c>
      <c r="B447" s="6">
        <v>19</v>
      </c>
      <c r="C447" s="7" t="s">
        <v>314</v>
      </c>
      <c r="D447" s="6" t="s">
        <v>2354</v>
      </c>
      <c r="E447" s="6" t="s">
        <v>2355</v>
      </c>
      <c r="F447" s="6" t="s">
        <v>1278</v>
      </c>
      <c r="G447" s="6" t="s">
        <v>55</v>
      </c>
      <c r="H447" s="6" t="s">
        <v>1685</v>
      </c>
      <c r="I447" s="7" t="s">
        <v>2207</v>
      </c>
      <c r="J447" s="7" t="s">
        <v>2640</v>
      </c>
      <c r="K447" s="6">
        <v>5</v>
      </c>
      <c r="L447" s="6" t="s">
        <v>1576</v>
      </c>
      <c r="M447" s="8">
        <v>83636.479999999996</v>
      </c>
      <c r="N447" s="6" t="s">
        <v>4099</v>
      </c>
      <c r="O447" s="24">
        <v>1</v>
      </c>
      <c r="P447" s="8">
        <v>83636.479999999996</v>
      </c>
      <c r="Q447" s="6" t="s">
        <v>4099</v>
      </c>
      <c r="R447" s="6" t="s">
        <v>2356</v>
      </c>
      <c r="S447" s="6" t="s">
        <v>4100</v>
      </c>
      <c r="T447" s="10" t="s">
        <v>2357</v>
      </c>
      <c r="U447" s="10" t="s">
        <v>2358</v>
      </c>
      <c r="V447" s="6" t="s">
        <v>59</v>
      </c>
      <c r="W447" s="8">
        <v>4958600</v>
      </c>
      <c r="X447" s="6" t="s">
        <v>74</v>
      </c>
    </row>
    <row r="448" spans="1:25" s="6" customFormat="1" ht="289.8">
      <c r="A448" s="6" t="s">
        <v>39</v>
      </c>
      <c r="B448" s="7" t="s">
        <v>2263</v>
      </c>
      <c r="C448" s="7" t="s">
        <v>323</v>
      </c>
      <c r="D448" s="6" t="s">
        <v>2359</v>
      </c>
      <c r="E448" s="6" t="s">
        <v>2360</v>
      </c>
      <c r="F448" s="6" t="s">
        <v>40</v>
      </c>
      <c r="G448" s="6" t="s">
        <v>2361</v>
      </c>
      <c r="H448" s="6" t="s">
        <v>2362</v>
      </c>
      <c r="I448" s="7" t="s">
        <v>1901</v>
      </c>
      <c r="J448" s="7" t="s">
        <v>1901</v>
      </c>
      <c r="K448" s="7" t="s">
        <v>1199</v>
      </c>
      <c r="L448" s="6" t="s">
        <v>43</v>
      </c>
      <c r="M448" s="8">
        <v>19545</v>
      </c>
      <c r="N448" s="6" t="s">
        <v>2363</v>
      </c>
      <c r="O448" s="24">
        <v>1</v>
      </c>
      <c r="P448" s="8">
        <v>19545</v>
      </c>
      <c r="Q448" s="6" t="s">
        <v>2363</v>
      </c>
      <c r="R448" s="6" t="s">
        <v>2364</v>
      </c>
      <c r="S448" s="6" t="s">
        <v>2365</v>
      </c>
      <c r="T448" s="10" t="s">
        <v>2366</v>
      </c>
      <c r="U448" s="10" t="s">
        <v>2367</v>
      </c>
      <c r="V448" s="6">
        <v>47</v>
      </c>
      <c r="W448" s="8">
        <v>19545</v>
      </c>
      <c r="X448" s="6" t="s">
        <v>74</v>
      </c>
    </row>
    <row r="449" spans="1:25" s="6" customFormat="1" ht="358.8">
      <c r="A449" s="6" t="s">
        <v>39</v>
      </c>
      <c r="B449" s="7" t="s">
        <v>2263</v>
      </c>
      <c r="C449" s="7" t="s">
        <v>330</v>
      </c>
      <c r="D449" s="6" t="s">
        <v>2368</v>
      </c>
      <c r="E449" s="6" t="s">
        <v>2369</v>
      </c>
      <c r="F449" s="6" t="s">
        <v>40</v>
      </c>
      <c r="G449" s="6" t="s">
        <v>55</v>
      </c>
      <c r="H449" s="6" t="s">
        <v>1685</v>
      </c>
      <c r="I449" s="7" t="s">
        <v>2244</v>
      </c>
      <c r="J449" s="7" t="s">
        <v>2244</v>
      </c>
      <c r="K449" s="7" t="s">
        <v>1199</v>
      </c>
      <c r="L449" s="6" t="s">
        <v>43</v>
      </c>
      <c r="M449" s="8">
        <v>49764.14</v>
      </c>
      <c r="N449" s="6" t="s">
        <v>2372</v>
      </c>
      <c r="O449" s="24">
        <v>1</v>
      </c>
      <c r="P449" s="8">
        <v>49764.14</v>
      </c>
      <c r="Q449" s="6" t="s">
        <v>2372</v>
      </c>
      <c r="R449" s="6" t="s">
        <v>2291</v>
      </c>
      <c r="S449" s="6" t="s">
        <v>2292</v>
      </c>
      <c r="T449" s="10" t="s">
        <v>2370</v>
      </c>
      <c r="U449" s="10" t="s">
        <v>2371</v>
      </c>
      <c r="V449" s="6" t="s">
        <v>59</v>
      </c>
      <c r="W449" s="8">
        <v>15000000</v>
      </c>
      <c r="X449" s="6" t="s">
        <v>74</v>
      </c>
    </row>
    <row r="450" spans="1:25" s="6" customFormat="1" ht="151.80000000000001">
      <c r="A450" s="6" t="s">
        <v>39</v>
      </c>
      <c r="B450" s="7" t="s">
        <v>2263</v>
      </c>
      <c r="C450" s="7" t="s">
        <v>340</v>
      </c>
      <c r="D450" s="6" t="s">
        <v>2373</v>
      </c>
      <c r="E450" s="6" t="s">
        <v>2374</v>
      </c>
      <c r="F450" s="6" t="s">
        <v>40</v>
      </c>
      <c r="G450" s="6" t="s">
        <v>55</v>
      </c>
      <c r="H450" s="6" t="s">
        <v>56</v>
      </c>
      <c r="I450" s="7" t="s">
        <v>2244</v>
      </c>
      <c r="J450" s="7" t="s">
        <v>2244</v>
      </c>
      <c r="K450" s="6">
        <v>1</v>
      </c>
      <c r="L450" s="6" t="s">
        <v>43</v>
      </c>
      <c r="M450" s="8">
        <v>5600</v>
      </c>
      <c r="N450" s="6" t="s">
        <v>2322</v>
      </c>
      <c r="O450" s="24">
        <v>1</v>
      </c>
      <c r="P450" s="8">
        <v>5600</v>
      </c>
      <c r="Q450" s="6" t="s">
        <v>2322</v>
      </c>
      <c r="R450" s="6" t="s">
        <v>2318</v>
      </c>
      <c r="S450" s="6" t="s">
        <v>2319</v>
      </c>
      <c r="T450" s="10" t="s">
        <v>2323</v>
      </c>
      <c r="U450" s="10" t="s">
        <v>2324</v>
      </c>
      <c r="V450" s="6">
        <v>1.7</v>
      </c>
      <c r="W450" s="8">
        <v>81114010</v>
      </c>
      <c r="X450" s="6" t="s">
        <v>74</v>
      </c>
      <c r="Y450" s="29" t="s">
        <v>2375</v>
      </c>
    </row>
    <row r="451" spans="1:25" s="6" customFormat="1" ht="262.2">
      <c r="A451" s="6" t="s">
        <v>39</v>
      </c>
      <c r="B451" s="7" t="s">
        <v>2263</v>
      </c>
      <c r="C451" s="7" t="s">
        <v>348</v>
      </c>
      <c r="D451" s="6" t="s">
        <v>3845</v>
      </c>
      <c r="E451" s="6" t="s">
        <v>3846</v>
      </c>
      <c r="F451" s="6" t="s">
        <v>40</v>
      </c>
      <c r="G451" s="6" t="s">
        <v>55</v>
      </c>
      <c r="H451" s="6" t="s">
        <v>158</v>
      </c>
      <c r="I451" s="7" t="s">
        <v>1627</v>
      </c>
      <c r="J451" s="7" t="s">
        <v>2182</v>
      </c>
      <c r="K451" s="6">
        <v>3</v>
      </c>
      <c r="L451" s="6" t="s">
        <v>43</v>
      </c>
      <c r="M451" s="55">
        <v>4200</v>
      </c>
      <c r="N451" s="56" t="s">
        <v>3847</v>
      </c>
      <c r="O451" s="24">
        <v>1</v>
      </c>
      <c r="P451" s="55">
        <v>4200</v>
      </c>
      <c r="Q451" s="56" t="s">
        <v>3847</v>
      </c>
      <c r="R451" s="6" t="s">
        <v>302</v>
      </c>
      <c r="S451" s="6" t="s">
        <v>3848</v>
      </c>
      <c r="T451" s="10" t="s">
        <v>3849</v>
      </c>
      <c r="U451" s="10" t="s">
        <v>3850</v>
      </c>
      <c r="V451" s="6" t="s">
        <v>59</v>
      </c>
      <c r="W451" s="8">
        <v>48732890.710000001</v>
      </c>
      <c r="X451" s="6" t="s">
        <v>74</v>
      </c>
      <c r="Y451" s="29"/>
    </row>
    <row r="452" spans="1:25" s="6" customFormat="1" ht="179.4">
      <c r="A452" s="6" t="s">
        <v>39</v>
      </c>
      <c r="B452" s="7" t="s">
        <v>2263</v>
      </c>
      <c r="C452" s="7" t="s">
        <v>358</v>
      </c>
      <c r="D452" s="6" t="s">
        <v>2376</v>
      </c>
      <c r="E452" s="6" t="s">
        <v>2377</v>
      </c>
      <c r="F452" s="6" t="s">
        <v>40</v>
      </c>
      <c r="G452" s="6" t="s">
        <v>55</v>
      </c>
      <c r="H452" s="6" t="s">
        <v>158</v>
      </c>
      <c r="I452" s="7" t="s">
        <v>1901</v>
      </c>
      <c r="J452" s="7" t="s">
        <v>2378</v>
      </c>
      <c r="K452" s="7" t="s">
        <v>2379</v>
      </c>
      <c r="L452" s="6" t="s">
        <v>43</v>
      </c>
      <c r="M452" s="8">
        <v>11445</v>
      </c>
      <c r="N452" s="6" t="s">
        <v>2380</v>
      </c>
      <c r="O452" s="24">
        <v>1</v>
      </c>
      <c r="P452" s="8">
        <v>11445</v>
      </c>
      <c r="Q452" s="6" t="s">
        <v>2380</v>
      </c>
      <c r="R452" s="6" t="s">
        <v>1509</v>
      </c>
      <c r="S452" s="6" t="s">
        <v>2381</v>
      </c>
      <c r="T452" s="10" t="s">
        <v>2382</v>
      </c>
      <c r="U452" s="10" t="s">
        <v>2383</v>
      </c>
      <c r="V452" s="6" t="s">
        <v>59</v>
      </c>
      <c r="W452" s="8">
        <v>11445</v>
      </c>
      <c r="X452" s="6" t="s">
        <v>74</v>
      </c>
    </row>
    <row r="453" spans="1:25" s="6" customFormat="1" ht="409.6">
      <c r="A453" s="6" t="s">
        <v>39</v>
      </c>
      <c r="B453" s="6">
        <v>19</v>
      </c>
      <c r="C453" s="7" t="s">
        <v>494</v>
      </c>
      <c r="D453" s="6" t="s">
        <v>2887</v>
      </c>
      <c r="E453" s="6" t="s">
        <v>2888</v>
      </c>
      <c r="F453" s="6" t="s">
        <v>1278</v>
      </c>
      <c r="G453" s="6" t="s">
        <v>55</v>
      </c>
      <c r="H453" s="6" t="s">
        <v>1685</v>
      </c>
      <c r="I453" s="7" t="s">
        <v>2418</v>
      </c>
      <c r="J453" s="7" t="s">
        <v>2889</v>
      </c>
      <c r="K453" s="6">
        <v>3</v>
      </c>
      <c r="L453" s="6" t="s">
        <v>43</v>
      </c>
      <c r="M453" s="8">
        <v>123445</v>
      </c>
      <c r="N453" s="6" t="s">
        <v>2890</v>
      </c>
      <c r="O453" s="24">
        <v>1</v>
      </c>
      <c r="P453" s="8">
        <v>617225</v>
      </c>
      <c r="Q453" s="6" t="s">
        <v>2891</v>
      </c>
      <c r="R453" s="6" t="s">
        <v>1509</v>
      </c>
      <c r="S453" s="6" t="s">
        <v>2892</v>
      </c>
      <c r="T453" s="10" t="s">
        <v>2893</v>
      </c>
      <c r="U453" s="10" t="s">
        <v>2894</v>
      </c>
      <c r="V453" s="6" t="s">
        <v>59</v>
      </c>
      <c r="W453" s="8">
        <v>617225</v>
      </c>
      <c r="X453" s="6" t="s">
        <v>74</v>
      </c>
      <c r="Y453" s="6" t="s">
        <v>4101</v>
      </c>
    </row>
    <row r="454" spans="1:25" s="6" customFormat="1" ht="262.2">
      <c r="A454" s="6" t="s">
        <v>39</v>
      </c>
      <c r="B454" s="6">
        <v>19</v>
      </c>
      <c r="C454" s="7" t="s">
        <v>505</v>
      </c>
      <c r="D454" s="6" t="s">
        <v>2384</v>
      </c>
      <c r="E454" s="6" t="s">
        <v>2385</v>
      </c>
      <c r="F454" s="6" t="s">
        <v>1278</v>
      </c>
      <c r="G454" s="6" t="s">
        <v>55</v>
      </c>
      <c r="H454" s="6" t="s">
        <v>158</v>
      </c>
      <c r="I454" s="7" t="s">
        <v>2244</v>
      </c>
      <c r="J454" s="7" t="s">
        <v>1627</v>
      </c>
      <c r="K454" s="6">
        <v>3</v>
      </c>
      <c r="L454" s="6" t="s">
        <v>43</v>
      </c>
      <c r="M454" s="8">
        <v>4462</v>
      </c>
      <c r="N454" s="6" t="s">
        <v>2386</v>
      </c>
      <c r="O454" s="24">
        <v>1</v>
      </c>
      <c r="P454" s="8">
        <v>4462</v>
      </c>
      <c r="Q454" s="6" t="s">
        <v>2386</v>
      </c>
      <c r="R454" s="6" t="s">
        <v>1509</v>
      </c>
      <c r="S454" s="6" t="s">
        <v>2387</v>
      </c>
      <c r="T454" s="10" t="s">
        <v>2388</v>
      </c>
      <c r="U454" s="10" t="s">
        <v>2389</v>
      </c>
      <c r="V454" s="6" t="s">
        <v>59</v>
      </c>
      <c r="W454" s="8">
        <v>4462</v>
      </c>
      <c r="X454" s="6" t="s">
        <v>74</v>
      </c>
    </row>
    <row r="455" spans="1:25" s="6" customFormat="1" ht="165.6">
      <c r="A455" s="6" t="s">
        <v>39</v>
      </c>
      <c r="B455" s="6">
        <v>19</v>
      </c>
      <c r="C455" s="7" t="s">
        <v>514</v>
      </c>
      <c r="D455" s="6" t="s">
        <v>2390</v>
      </c>
      <c r="E455" s="6" t="s">
        <v>2391</v>
      </c>
      <c r="F455" s="6" t="s">
        <v>1568</v>
      </c>
      <c r="G455" s="6" t="s">
        <v>55</v>
      </c>
      <c r="H455" s="6" t="s">
        <v>158</v>
      </c>
      <c r="I455" s="7" t="s">
        <v>1627</v>
      </c>
      <c r="J455" s="7" t="s">
        <v>1627</v>
      </c>
      <c r="K455" s="6" t="s">
        <v>1697</v>
      </c>
      <c r="L455" s="6" t="s">
        <v>1589</v>
      </c>
      <c r="M455" s="8">
        <v>1060</v>
      </c>
      <c r="N455" s="6" t="s">
        <v>2392</v>
      </c>
      <c r="O455" s="24">
        <v>1</v>
      </c>
      <c r="P455" s="8">
        <v>1060</v>
      </c>
      <c r="Q455" s="6" t="s">
        <v>2392</v>
      </c>
      <c r="R455" s="6" t="s">
        <v>2393</v>
      </c>
      <c r="S455" s="6" t="s">
        <v>2394</v>
      </c>
      <c r="T455" s="10" t="s">
        <v>2395</v>
      </c>
      <c r="U455" s="10" t="s">
        <v>2396</v>
      </c>
      <c r="V455" s="6" t="s">
        <v>59</v>
      </c>
      <c r="W455" s="8">
        <v>20000</v>
      </c>
      <c r="X455" s="6" t="s">
        <v>58</v>
      </c>
    </row>
    <row r="456" spans="1:25" s="6" customFormat="1" ht="165.6">
      <c r="A456" s="6" t="s">
        <v>39</v>
      </c>
      <c r="B456" s="6">
        <v>19</v>
      </c>
      <c r="C456" s="7" t="s">
        <v>514</v>
      </c>
      <c r="D456" s="6" t="s">
        <v>2390</v>
      </c>
      <c r="E456" s="6" t="s">
        <v>2397</v>
      </c>
      <c r="F456" s="6" t="s">
        <v>1568</v>
      </c>
      <c r="G456" s="6" t="s">
        <v>55</v>
      </c>
      <c r="H456" s="6" t="s">
        <v>158</v>
      </c>
      <c r="I456" s="7" t="s">
        <v>1627</v>
      </c>
      <c r="J456" s="7" t="s">
        <v>1627</v>
      </c>
      <c r="K456" s="6" t="s">
        <v>1697</v>
      </c>
      <c r="L456" s="6" t="s">
        <v>1589</v>
      </c>
      <c r="M456" s="8">
        <v>1060</v>
      </c>
      <c r="N456" s="6" t="s">
        <v>2392</v>
      </c>
      <c r="O456" s="24">
        <v>1</v>
      </c>
      <c r="P456" s="8">
        <v>1060</v>
      </c>
      <c r="Q456" s="6" t="s">
        <v>2392</v>
      </c>
      <c r="R456" s="6" t="s">
        <v>2393</v>
      </c>
      <c r="S456" s="6" t="s">
        <v>2394</v>
      </c>
      <c r="T456" s="10" t="s">
        <v>2395</v>
      </c>
      <c r="U456" s="10" t="s">
        <v>2396</v>
      </c>
      <c r="V456" s="6" t="s">
        <v>59</v>
      </c>
      <c r="W456" s="8">
        <v>26610.18</v>
      </c>
      <c r="X456" s="6" t="s">
        <v>58</v>
      </c>
    </row>
    <row r="457" spans="1:25" s="6" customFormat="1" ht="179.4">
      <c r="A457" s="6" t="s">
        <v>39</v>
      </c>
      <c r="B457" s="6">
        <v>19</v>
      </c>
      <c r="C457" s="7" t="s">
        <v>514</v>
      </c>
      <c r="D457" s="6" t="s">
        <v>2390</v>
      </c>
      <c r="E457" s="6" t="s">
        <v>2398</v>
      </c>
      <c r="F457" s="6" t="s">
        <v>1568</v>
      </c>
      <c r="G457" s="6" t="s">
        <v>55</v>
      </c>
      <c r="H457" s="6" t="s">
        <v>158</v>
      </c>
      <c r="I457" s="7" t="s">
        <v>2182</v>
      </c>
      <c r="J457" s="7" t="s">
        <v>2268</v>
      </c>
      <c r="K457" s="6">
        <v>1</v>
      </c>
      <c r="L457" s="6" t="s">
        <v>1589</v>
      </c>
      <c r="M457" s="8">
        <v>2695</v>
      </c>
      <c r="N457" s="6" t="s">
        <v>2399</v>
      </c>
      <c r="O457" s="24">
        <v>1</v>
      </c>
      <c r="P457" s="8">
        <v>2695</v>
      </c>
      <c r="Q457" s="6" t="s">
        <v>2399</v>
      </c>
      <c r="R457" s="6" t="s">
        <v>2393</v>
      </c>
      <c r="S457" s="6" t="s">
        <v>2394</v>
      </c>
      <c r="T457" s="10" t="s">
        <v>2400</v>
      </c>
      <c r="U457" s="10" t="s">
        <v>2401</v>
      </c>
      <c r="V457" s="6" t="s">
        <v>59</v>
      </c>
      <c r="W457" s="8">
        <v>2695</v>
      </c>
      <c r="X457" s="6" t="s">
        <v>74</v>
      </c>
    </row>
    <row r="458" spans="1:25" s="6" customFormat="1" ht="151.80000000000001">
      <c r="A458" s="6" t="s">
        <v>39</v>
      </c>
      <c r="B458" s="7" t="s">
        <v>2263</v>
      </c>
      <c r="C458" s="7" t="s">
        <v>522</v>
      </c>
      <c r="D458" s="6" t="s">
        <v>2402</v>
      </c>
      <c r="E458" s="6" t="s">
        <v>2410</v>
      </c>
      <c r="F458" s="6" t="s">
        <v>40</v>
      </c>
      <c r="G458" s="6" t="s">
        <v>55</v>
      </c>
      <c r="H458" s="6" t="s">
        <v>2404</v>
      </c>
      <c r="I458" s="7" t="s">
        <v>1627</v>
      </c>
      <c r="J458" s="7" t="s">
        <v>1627</v>
      </c>
      <c r="K458" s="7" t="s">
        <v>1199</v>
      </c>
      <c r="L458" s="6" t="s">
        <v>43</v>
      </c>
      <c r="M458" s="8">
        <v>12400</v>
      </c>
      <c r="N458" s="6" t="s">
        <v>2411</v>
      </c>
      <c r="O458" s="24">
        <v>1</v>
      </c>
      <c r="P458" s="8">
        <v>12400</v>
      </c>
      <c r="Q458" s="6" t="s">
        <v>2411</v>
      </c>
      <c r="R458" s="6" t="s">
        <v>2408</v>
      </c>
      <c r="S458" s="6" t="s">
        <v>2409</v>
      </c>
      <c r="T458" s="10" t="s">
        <v>2412</v>
      </c>
      <c r="U458" s="10" t="s">
        <v>2413</v>
      </c>
      <c r="V458" s="6" t="s">
        <v>59</v>
      </c>
      <c r="W458" s="8">
        <v>17775505.879999999</v>
      </c>
      <c r="X458" s="6" t="s">
        <v>74</v>
      </c>
    </row>
    <row r="459" spans="1:25" s="6" customFormat="1" ht="248.4">
      <c r="A459" s="6" t="s">
        <v>39</v>
      </c>
      <c r="B459" s="7" t="s">
        <v>2263</v>
      </c>
      <c r="C459" s="7" t="s">
        <v>522</v>
      </c>
      <c r="D459" s="6" t="s">
        <v>2402</v>
      </c>
      <c r="E459" s="6" t="s">
        <v>2403</v>
      </c>
      <c r="F459" s="6" t="s">
        <v>40</v>
      </c>
      <c r="G459" s="6" t="s">
        <v>55</v>
      </c>
      <c r="H459" s="6" t="s">
        <v>2404</v>
      </c>
      <c r="I459" s="7" t="s">
        <v>2405</v>
      </c>
      <c r="J459" s="7" t="s">
        <v>2406</v>
      </c>
      <c r="K459" s="7" t="s">
        <v>2334</v>
      </c>
      <c r="L459" s="6" t="s">
        <v>43</v>
      </c>
      <c r="M459" s="8">
        <v>26400</v>
      </c>
      <c r="N459" s="6" t="s">
        <v>2407</v>
      </c>
      <c r="O459" s="24">
        <v>1</v>
      </c>
      <c r="P459" s="8">
        <v>26400</v>
      </c>
      <c r="Q459" s="6" t="s">
        <v>2407</v>
      </c>
      <c r="R459" s="6" t="s">
        <v>2408</v>
      </c>
      <c r="S459" s="6" t="s">
        <v>2409</v>
      </c>
      <c r="T459" s="10" t="s">
        <v>2414</v>
      </c>
      <c r="U459" s="10" t="s">
        <v>2415</v>
      </c>
      <c r="V459" s="6" t="s">
        <v>59</v>
      </c>
      <c r="W459" s="8">
        <v>17775505.879999999</v>
      </c>
      <c r="X459" s="6" t="s">
        <v>74</v>
      </c>
    </row>
    <row r="460" spans="1:25" s="6" customFormat="1" ht="317.39999999999998">
      <c r="A460" s="6" t="s">
        <v>39</v>
      </c>
      <c r="B460" s="6">
        <v>19</v>
      </c>
      <c r="C460" s="7" t="s">
        <v>528</v>
      </c>
      <c r="D460" s="6" t="s">
        <v>2416</v>
      </c>
      <c r="E460" s="6" t="s">
        <v>2417</v>
      </c>
      <c r="F460" s="6" t="s">
        <v>1278</v>
      </c>
      <c r="G460" s="6" t="s">
        <v>55</v>
      </c>
      <c r="H460" s="6" t="s">
        <v>158</v>
      </c>
      <c r="I460" s="7" t="s">
        <v>2418</v>
      </c>
      <c r="J460" s="7" t="s">
        <v>2419</v>
      </c>
      <c r="K460" s="6">
        <v>3</v>
      </c>
      <c r="L460" s="6" t="s">
        <v>43</v>
      </c>
      <c r="M460" s="8">
        <v>9860</v>
      </c>
      <c r="N460" s="6" t="s">
        <v>2420</v>
      </c>
      <c r="O460" s="24">
        <v>1</v>
      </c>
      <c r="P460" s="8">
        <v>9860</v>
      </c>
      <c r="Q460" s="6" t="s">
        <v>2420</v>
      </c>
      <c r="R460" s="6" t="s">
        <v>2421</v>
      </c>
      <c r="S460" s="6" t="s">
        <v>2422</v>
      </c>
      <c r="T460" s="10" t="s">
        <v>2423</v>
      </c>
      <c r="U460" s="10" t="s">
        <v>2424</v>
      </c>
      <c r="V460" s="6" t="s">
        <v>59</v>
      </c>
      <c r="W460" s="8">
        <v>12874.86</v>
      </c>
      <c r="X460" s="6" t="s">
        <v>74</v>
      </c>
    </row>
    <row r="461" spans="1:25" s="6" customFormat="1" ht="248.4">
      <c r="A461" s="6" t="s">
        <v>39</v>
      </c>
      <c r="B461" s="6">
        <v>19</v>
      </c>
      <c r="C461" s="7" t="s">
        <v>536</v>
      </c>
      <c r="D461" s="6" t="s">
        <v>2425</v>
      </c>
      <c r="E461" s="6" t="s">
        <v>2426</v>
      </c>
      <c r="F461" s="6" t="s">
        <v>1568</v>
      </c>
      <c r="G461" s="6" t="s">
        <v>55</v>
      </c>
      <c r="H461" s="6" t="s">
        <v>613</v>
      </c>
      <c r="I461" s="7" t="s">
        <v>1627</v>
      </c>
      <c r="J461" s="7" t="s">
        <v>2268</v>
      </c>
      <c r="K461" s="6">
        <v>3</v>
      </c>
      <c r="L461" s="6" t="s">
        <v>1589</v>
      </c>
      <c r="M461" s="8">
        <v>16480</v>
      </c>
      <c r="N461" s="6" t="s">
        <v>2427</v>
      </c>
      <c r="O461" s="24">
        <v>1</v>
      </c>
      <c r="P461" s="8">
        <v>16480</v>
      </c>
      <c r="Q461" s="6" t="s">
        <v>2427</v>
      </c>
      <c r="R461" s="6" t="s">
        <v>2428</v>
      </c>
      <c r="S461" s="6" t="s">
        <v>2429</v>
      </c>
      <c r="T461" s="10" t="s">
        <v>2430</v>
      </c>
      <c r="U461" s="10" t="s">
        <v>2431</v>
      </c>
      <c r="V461" s="6" t="s">
        <v>59</v>
      </c>
      <c r="W461" s="8">
        <v>1150433.6100000001</v>
      </c>
      <c r="X461" s="6" t="s">
        <v>58</v>
      </c>
    </row>
    <row r="462" spans="1:25" s="6" customFormat="1" ht="248.4">
      <c r="A462" s="6" t="s">
        <v>39</v>
      </c>
      <c r="B462" s="6">
        <v>19</v>
      </c>
      <c r="C462" s="7" t="s">
        <v>536</v>
      </c>
      <c r="D462" s="6" t="s">
        <v>2425</v>
      </c>
      <c r="E462" s="6" t="s">
        <v>2426</v>
      </c>
      <c r="F462" s="6" t="s">
        <v>1568</v>
      </c>
      <c r="G462" s="6" t="s">
        <v>55</v>
      </c>
      <c r="H462" s="6" t="s">
        <v>613</v>
      </c>
      <c r="I462" s="7" t="s">
        <v>2182</v>
      </c>
      <c r="J462" s="7" t="s">
        <v>2419</v>
      </c>
      <c r="K462" s="6">
        <v>3</v>
      </c>
      <c r="L462" s="6" t="s">
        <v>1589</v>
      </c>
      <c r="M462" s="8">
        <v>7320</v>
      </c>
      <c r="N462" s="6" t="s">
        <v>2432</v>
      </c>
      <c r="O462" s="24">
        <v>1</v>
      </c>
      <c r="P462" s="8">
        <v>7320</v>
      </c>
      <c r="Q462" s="6" t="s">
        <v>2432</v>
      </c>
      <c r="R462" s="6" t="s">
        <v>2428</v>
      </c>
      <c r="S462" s="6" t="s">
        <v>2429</v>
      </c>
      <c r="T462" s="10" t="s">
        <v>2433</v>
      </c>
      <c r="U462" s="10" t="s">
        <v>2431</v>
      </c>
      <c r="V462" s="6" t="s">
        <v>59</v>
      </c>
      <c r="W462" s="8">
        <v>19712.52</v>
      </c>
      <c r="X462" s="6" t="s">
        <v>58</v>
      </c>
    </row>
    <row r="463" spans="1:25" s="6" customFormat="1" ht="248.4">
      <c r="A463" s="6" t="s">
        <v>39</v>
      </c>
      <c r="B463" s="6">
        <v>19</v>
      </c>
      <c r="C463" s="7" t="s">
        <v>536</v>
      </c>
      <c r="D463" s="6" t="s">
        <v>2425</v>
      </c>
      <c r="E463" s="6" t="s">
        <v>2426</v>
      </c>
      <c r="F463" s="6" t="s">
        <v>1568</v>
      </c>
      <c r="G463" s="6" t="s">
        <v>55</v>
      </c>
      <c r="H463" s="6" t="s">
        <v>613</v>
      </c>
      <c r="I463" s="7" t="s">
        <v>2147</v>
      </c>
      <c r="J463" s="7" t="s">
        <v>2147</v>
      </c>
      <c r="K463" s="6" t="s">
        <v>1171</v>
      </c>
      <c r="L463" s="6" t="s">
        <v>1589</v>
      </c>
      <c r="M463" s="8">
        <v>1180</v>
      </c>
      <c r="N463" s="6" t="s">
        <v>2435</v>
      </c>
      <c r="O463" s="24">
        <v>1</v>
      </c>
      <c r="P463" s="8">
        <v>1180</v>
      </c>
      <c r="Q463" s="6" t="s">
        <v>2435</v>
      </c>
      <c r="R463" s="6" t="s">
        <v>2428</v>
      </c>
      <c r="S463" s="6" t="s">
        <v>2429</v>
      </c>
      <c r="T463" s="10" t="s">
        <v>2434</v>
      </c>
      <c r="U463" s="10" t="s">
        <v>2438</v>
      </c>
      <c r="V463" s="6" t="s">
        <v>59</v>
      </c>
      <c r="W463" s="8">
        <v>1993.98</v>
      </c>
      <c r="X463" s="6" t="s">
        <v>58</v>
      </c>
    </row>
    <row r="464" spans="1:25" s="6" customFormat="1" ht="248.4">
      <c r="A464" s="6" t="s">
        <v>39</v>
      </c>
      <c r="B464" s="6">
        <v>19</v>
      </c>
      <c r="C464" s="7" t="s">
        <v>536</v>
      </c>
      <c r="D464" s="6" t="s">
        <v>2425</v>
      </c>
      <c r="E464" s="6" t="s">
        <v>2426</v>
      </c>
      <c r="F464" s="6" t="s">
        <v>1568</v>
      </c>
      <c r="G464" s="6" t="s">
        <v>55</v>
      </c>
      <c r="H464" s="6" t="s">
        <v>613</v>
      </c>
      <c r="I464" s="7" t="s">
        <v>2147</v>
      </c>
      <c r="J464" s="7" t="s">
        <v>2147</v>
      </c>
      <c r="K464" s="6" t="s">
        <v>1199</v>
      </c>
      <c r="L464" s="6" t="s">
        <v>1589</v>
      </c>
      <c r="M464" s="8">
        <v>1330</v>
      </c>
      <c r="N464" s="6" t="s">
        <v>2436</v>
      </c>
      <c r="O464" s="24">
        <v>1</v>
      </c>
      <c r="P464" s="8">
        <v>1330</v>
      </c>
      <c r="Q464" s="6" t="s">
        <v>2436</v>
      </c>
      <c r="R464" s="6" t="s">
        <v>2428</v>
      </c>
      <c r="S464" s="6" t="s">
        <v>2429</v>
      </c>
      <c r="T464" s="10" t="s">
        <v>2437</v>
      </c>
      <c r="U464" s="10" t="s">
        <v>2438</v>
      </c>
      <c r="V464" s="6" t="s">
        <v>59</v>
      </c>
      <c r="W464" s="8">
        <v>22439.47</v>
      </c>
      <c r="X464" s="6" t="s">
        <v>58</v>
      </c>
    </row>
    <row r="465" spans="1:25" s="6" customFormat="1" ht="248.4">
      <c r="A465" s="6" t="s">
        <v>39</v>
      </c>
      <c r="B465" s="6">
        <v>19</v>
      </c>
      <c r="C465" s="7" t="s">
        <v>536</v>
      </c>
      <c r="D465" s="6" t="s">
        <v>2425</v>
      </c>
      <c r="E465" s="6" t="s">
        <v>2426</v>
      </c>
      <c r="F465" s="6" t="s">
        <v>1568</v>
      </c>
      <c r="G465" s="6" t="s">
        <v>55</v>
      </c>
      <c r="H465" s="6" t="s">
        <v>613</v>
      </c>
      <c r="I465" s="7" t="s">
        <v>1989</v>
      </c>
      <c r="J465" s="7" t="s">
        <v>1989</v>
      </c>
      <c r="K465" s="6" t="s">
        <v>1171</v>
      </c>
      <c r="L465" s="6" t="s">
        <v>1589</v>
      </c>
      <c r="M465" s="8">
        <v>540</v>
      </c>
      <c r="N465" s="6" t="s">
        <v>2439</v>
      </c>
      <c r="O465" s="24">
        <v>1</v>
      </c>
      <c r="P465" s="8">
        <v>540</v>
      </c>
      <c r="Q465" s="6" t="s">
        <v>2439</v>
      </c>
      <c r="R465" s="6" t="s">
        <v>2428</v>
      </c>
      <c r="S465" s="6" t="s">
        <v>2429</v>
      </c>
      <c r="T465" s="10" t="s">
        <v>2440</v>
      </c>
      <c r="U465" s="10" t="s">
        <v>2441</v>
      </c>
      <c r="V465" s="6" t="s">
        <v>59</v>
      </c>
      <c r="W465" s="8">
        <v>1039434.58</v>
      </c>
      <c r="X465" s="6" t="s">
        <v>58</v>
      </c>
    </row>
    <row r="466" spans="1:25" s="6" customFormat="1" ht="358.8">
      <c r="A466" s="6" t="s">
        <v>39</v>
      </c>
      <c r="B466" s="7" t="s">
        <v>2263</v>
      </c>
      <c r="C466" s="7" t="s">
        <v>544</v>
      </c>
      <c r="D466" s="6" t="s">
        <v>2442</v>
      </c>
      <c r="E466" s="6" t="s">
        <v>2443</v>
      </c>
      <c r="F466" s="6" t="s">
        <v>40</v>
      </c>
      <c r="G466" s="6" t="s">
        <v>50</v>
      </c>
      <c r="H466" s="6" t="s">
        <v>49</v>
      </c>
      <c r="I466" s="7" t="s">
        <v>2418</v>
      </c>
      <c r="J466" s="7" t="s">
        <v>2182</v>
      </c>
      <c r="K466" s="7" t="s">
        <v>2444</v>
      </c>
      <c r="L466" s="6" t="s">
        <v>43</v>
      </c>
      <c r="M466" s="8">
        <v>260896.95</v>
      </c>
      <c r="N466" s="6" t="s">
        <v>2445</v>
      </c>
      <c r="O466" s="24">
        <v>1</v>
      </c>
      <c r="P466" s="8">
        <v>233907.61</v>
      </c>
      <c r="Q466" s="6" t="s">
        <v>2446</v>
      </c>
      <c r="R466" s="6" t="s">
        <v>2447</v>
      </c>
      <c r="S466" s="6" t="s">
        <v>2448</v>
      </c>
      <c r="T466" s="10" t="s">
        <v>2450</v>
      </c>
      <c r="U466" s="10" t="s">
        <v>2509</v>
      </c>
      <c r="V466" s="6">
        <v>7.3</v>
      </c>
      <c r="W466" s="8">
        <v>350369086.31999999</v>
      </c>
      <c r="X466" s="6" t="s">
        <v>74</v>
      </c>
      <c r="Y466" s="6" t="s">
        <v>2449</v>
      </c>
    </row>
    <row r="467" spans="1:25" s="6" customFormat="1" ht="234.6">
      <c r="A467" s="6" t="s">
        <v>39</v>
      </c>
      <c r="B467" s="7" t="s">
        <v>2263</v>
      </c>
      <c r="C467" s="7" t="s">
        <v>842</v>
      </c>
      <c r="D467" s="6" t="s">
        <v>3851</v>
      </c>
      <c r="E467" s="6" t="s">
        <v>3852</v>
      </c>
      <c r="F467" s="6" t="s">
        <v>2880</v>
      </c>
      <c r="G467" s="6" t="s">
        <v>55</v>
      </c>
      <c r="H467" s="6" t="s">
        <v>158</v>
      </c>
      <c r="I467" s="7" t="s">
        <v>2182</v>
      </c>
      <c r="J467" s="7" t="s">
        <v>2419</v>
      </c>
      <c r="K467" s="7" t="s">
        <v>2379</v>
      </c>
      <c r="L467" s="6" t="s">
        <v>2906</v>
      </c>
      <c r="M467" s="8">
        <v>21732.5</v>
      </c>
      <c r="N467" s="6" t="s">
        <v>3853</v>
      </c>
      <c r="O467" s="24">
        <v>1</v>
      </c>
      <c r="P467" s="8">
        <v>21732.5</v>
      </c>
      <c r="Q467" s="6" t="s">
        <v>3853</v>
      </c>
      <c r="R467" s="6" t="s">
        <v>3854</v>
      </c>
      <c r="S467" s="6" t="s">
        <v>3855</v>
      </c>
      <c r="T467" s="10" t="s">
        <v>3856</v>
      </c>
      <c r="U467" s="10" t="s">
        <v>3857</v>
      </c>
      <c r="V467" s="6" t="s">
        <v>59</v>
      </c>
      <c r="W467" s="8">
        <v>1142155.58</v>
      </c>
      <c r="X467" s="6" t="s">
        <v>74</v>
      </c>
    </row>
    <row r="468" spans="1:25" s="6" customFormat="1" ht="234.6">
      <c r="A468" s="6" t="s">
        <v>39</v>
      </c>
      <c r="B468" s="7" t="s">
        <v>2263</v>
      </c>
      <c r="C468" s="7" t="s">
        <v>842</v>
      </c>
      <c r="D468" s="6" t="s">
        <v>3851</v>
      </c>
      <c r="E468" s="6" t="s">
        <v>3858</v>
      </c>
      <c r="F468" s="6" t="s">
        <v>2880</v>
      </c>
      <c r="G468" s="6" t="s">
        <v>55</v>
      </c>
      <c r="H468" s="6" t="s">
        <v>158</v>
      </c>
      <c r="I468" s="7" t="s">
        <v>2182</v>
      </c>
      <c r="J468" s="7" t="s">
        <v>2419</v>
      </c>
      <c r="K468" s="7" t="s">
        <v>2379</v>
      </c>
      <c r="L468" s="6" t="s">
        <v>2906</v>
      </c>
      <c r="M468" s="8">
        <v>5740.62</v>
      </c>
      <c r="N468" s="6" t="s">
        <v>3859</v>
      </c>
      <c r="O468" s="24">
        <v>1</v>
      </c>
      <c r="P468" s="8">
        <v>5740.62</v>
      </c>
      <c r="Q468" s="6" t="s">
        <v>3859</v>
      </c>
      <c r="R468" s="6" t="s">
        <v>3854</v>
      </c>
      <c r="S468" s="6" t="s">
        <v>3855</v>
      </c>
      <c r="T468" s="10" t="s">
        <v>3856</v>
      </c>
      <c r="U468" s="10" t="s">
        <v>3857</v>
      </c>
      <c r="V468" s="6" t="s">
        <v>59</v>
      </c>
      <c r="W468" s="8">
        <v>106232.23</v>
      </c>
      <c r="X468" s="6" t="s">
        <v>74</v>
      </c>
    </row>
    <row r="469" spans="1:25" s="6" customFormat="1" ht="248.4">
      <c r="A469" s="6" t="s">
        <v>39</v>
      </c>
      <c r="B469" s="7" t="s">
        <v>2263</v>
      </c>
      <c r="C469" s="7" t="s">
        <v>842</v>
      </c>
      <c r="D469" s="6" t="s">
        <v>3851</v>
      </c>
      <c r="E469" s="6" t="s">
        <v>3860</v>
      </c>
      <c r="F469" s="6" t="s">
        <v>1278</v>
      </c>
      <c r="G469" s="6" t="s">
        <v>55</v>
      </c>
      <c r="H469" s="6" t="s">
        <v>158</v>
      </c>
      <c r="I469" s="7" t="s">
        <v>2268</v>
      </c>
      <c r="J469" s="7" t="s">
        <v>2405</v>
      </c>
      <c r="K469" s="7" t="s">
        <v>2379</v>
      </c>
      <c r="L469" s="6" t="s">
        <v>2906</v>
      </c>
      <c r="M469" s="8">
        <v>30163.93</v>
      </c>
      <c r="N469" s="6" t="s">
        <v>3861</v>
      </c>
      <c r="O469" s="24">
        <v>1</v>
      </c>
      <c r="P469" s="8">
        <v>30163.93</v>
      </c>
      <c r="Q469" s="6" t="s">
        <v>3861</v>
      </c>
      <c r="R469" s="6" t="s">
        <v>3854</v>
      </c>
      <c r="S469" s="6" t="s">
        <v>3855</v>
      </c>
      <c r="T469" s="10" t="s">
        <v>3856</v>
      </c>
      <c r="U469" s="10" t="s">
        <v>3857</v>
      </c>
      <c r="V469" s="6" t="s">
        <v>59</v>
      </c>
      <c r="W469" s="8">
        <v>1585270.09</v>
      </c>
      <c r="X469" s="6" t="s">
        <v>74</v>
      </c>
    </row>
    <row r="470" spans="1:25" s="6" customFormat="1" ht="409.6">
      <c r="A470" s="6" t="s">
        <v>39</v>
      </c>
      <c r="B470" s="6">
        <v>19</v>
      </c>
      <c r="C470" s="7" t="s">
        <v>1283</v>
      </c>
      <c r="D470" s="6" t="s">
        <v>2451</v>
      </c>
      <c r="E470" s="6" t="s">
        <v>2452</v>
      </c>
      <c r="F470" s="6" t="s">
        <v>1278</v>
      </c>
      <c r="G470" s="6" t="s">
        <v>55</v>
      </c>
      <c r="H470" s="6" t="s">
        <v>158</v>
      </c>
      <c r="I470" s="7" t="s">
        <v>2268</v>
      </c>
      <c r="J470" s="7" t="s">
        <v>2453</v>
      </c>
      <c r="K470" s="6">
        <v>45</v>
      </c>
      <c r="L470" s="6" t="s">
        <v>43</v>
      </c>
      <c r="M470" s="8">
        <v>109744</v>
      </c>
      <c r="N470" s="6" t="s">
        <v>2454</v>
      </c>
      <c r="O470" s="24">
        <v>1</v>
      </c>
      <c r="P470" s="8">
        <v>239950.56</v>
      </c>
      <c r="Q470" s="6" t="s">
        <v>2455</v>
      </c>
      <c r="R470" s="24" t="s">
        <v>1509</v>
      </c>
      <c r="S470" s="6" t="s">
        <v>1732</v>
      </c>
      <c r="T470" s="10" t="s">
        <v>2456</v>
      </c>
      <c r="U470" s="10" t="s">
        <v>2457</v>
      </c>
      <c r="V470" s="6" t="s">
        <v>59</v>
      </c>
      <c r="W470" s="8">
        <v>239950.56</v>
      </c>
      <c r="X470" s="6" t="s">
        <v>2458</v>
      </c>
    </row>
    <row r="471" spans="1:25" s="6" customFormat="1" ht="289.8">
      <c r="A471" s="6" t="s">
        <v>39</v>
      </c>
      <c r="B471" s="6">
        <v>19</v>
      </c>
      <c r="C471" s="7" t="s">
        <v>555</v>
      </c>
      <c r="D471" s="6" t="s">
        <v>2459</v>
      </c>
      <c r="E471" s="6" t="s">
        <v>2460</v>
      </c>
      <c r="F471" s="6" t="s">
        <v>40</v>
      </c>
      <c r="G471" s="6" t="s">
        <v>55</v>
      </c>
      <c r="H471" s="6" t="s">
        <v>325</v>
      </c>
      <c r="I471" s="7" t="s">
        <v>2418</v>
      </c>
      <c r="J471" s="7" t="s">
        <v>2182</v>
      </c>
      <c r="K471" s="6">
        <v>1</v>
      </c>
      <c r="L471" s="6" t="s">
        <v>43</v>
      </c>
      <c r="M471" s="8">
        <v>18210</v>
      </c>
      <c r="N471" s="6" t="s">
        <v>2461</v>
      </c>
      <c r="O471" s="24">
        <v>1</v>
      </c>
      <c r="P471" s="8">
        <v>18210</v>
      </c>
      <c r="Q471" s="6" t="s">
        <v>2461</v>
      </c>
      <c r="R471" s="6" t="s">
        <v>291</v>
      </c>
      <c r="S471" s="6" t="s">
        <v>1248</v>
      </c>
      <c r="T471" s="10" t="s">
        <v>2462</v>
      </c>
      <c r="U471" s="10" t="s">
        <v>2463</v>
      </c>
      <c r="V471" s="6" t="s">
        <v>59</v>
      </c>
      <c r="W471" s="8">
        <v>223922532</v>
      </c>
      <c r="X471" s="6" t="s">
        <v>74</v>
      </c>
    </row>
    <row r="472" spans="1:25" s="6" customFormat="1" ht="289.8">
      <c r="A472" s="6" t="s">
        <v>39</v>
      </c>
      <c r="B472" s="6">
        <v>19</v>
      </c>
      <c r="C472" s="7" t="s">
        <v>564</v>
      </c>
      <c r="D472" s="6" t="s">
        <v>2464</v>
      </c>
      <c r="E472" s="6" t="s">
        <v>2465</v>
      </c>
      <c r="F472" s="6" t="s">
        <v>1568</v>
      </c>
      <c r="G472" s="6" t="s">
        <v>55</v>
      </c>
      <c r="H472" s="6" t="s">
        <v>613</v>
      </c>
      <c r="I472" s="7" t="s">
        <v>2418</v>
      </c>
      <c r="J472" s="7" t="s">
        <v>2182</v>
      </c>
      <c r="K472" s="6">
        <v>1</v>
      </c>
      <c r="L472" s="6" t="s">
        <v>1589</v>
      </c>
      <c r="M472" s="8">
        <v>1855</v>
      </c>
      <c r="N472" s="6" t="s">
        <v>2466</v>
      </c>
      <c r="O472" s="24">
        <v>1</v>
      </c>
      <c r="P472" s="8">
        <v>1855</v>
      </c>
      <c r="Q472" s="6" t="s">
        <v>2466</v>
      </c>
      <c r="R472" s="6" t="s">
        <v>1560</v>
      </c>
      <c r="S472" s="6" t="s">
        <v>1637</v>
      </c>
      <c r="T472" s="10" t="s">
        <v>2467</v>
      </c>
      <c r="U472" s="10" t="s">
        <v>2468</v>
      </c>
      <c r="V472" s="6" t="s">
        <v>59</v>
      </c>
      <c r="W472" s="8">
        <v>7971.74</v>
      </c>
      <c r="X472" s="6" t="s">
        <v>74</v>
      </c>
    </row>
    <row r="473" spans="1:25" s="6" customFormat="1" ht="409.6">
      <c r="A473" s="6" t="s">
        <v>39</v>
      </c>
      <c r="B473" s="7" t="s">
        <v>2263</v>
      </c>
      <c r="C473" s="7" t="s">
        <v>1304</v>
      </c>
      <c r="D473" s="6" t="s">
        <v>2469</v>
      </c>
      <c r="E473" s="6" t="s">
        <v>2470</v>
      </c>
      <c r="F473" s="6" t="s">
        <v>40</v>
      </c>
      <c r="G473" s="6" t="s">
        <v>2471</v>
      </c>
      <c r="H473" s="6" t="s">
        <v>2472</v>
      </c>
      <c r="I473" s="7" t="s">
        <v>2419</v>
      </c>
      <c r="J473" s="7" t="s">
        <v>2207</v>
      </c>
      <c r="K473" s="7" t="s">
        <v>2334</v>
      </c>
      <c r="L473" s="6" t="s">
        <v>43</v>
      </c>
      <c r="M473" s="8">
        <v>152593.23000000001</v>
      </c>
      <c r="N473" s="6" t="s">
        <v>2473</v>
      </c>
      <c r="O473" s="24">
        <v>1</v>
      </c>
      <c r="P473" s="8">
        <v>152593.23000000001</v>
      </c>
      <c r="Q473" s="6" t="s">
        <v>2473</v>
      </c>
      <c r="R473" s="6" t="s">
        <v>761</v>
      </c>
      <c r="S473" s="6" t="s">
        <v>2474</v>
      </c>
      <c r="T473" s="10" t="s">
        <v>2475</v>
      </c>
      <c r="U473" s="10" t="s">
        <v>2476</v>
      </c>
      <c r="V473" s="6" t="s">
        <v>59</v>
      </c>
      <c r="W473" s="8">
        <v>152593.23000000001</v>
      </c>
      <c r="X473" s="6" t="s">
        <v>74</v>
      </c>
    </row>
    <row r="474" spans="1:25" s="6" customFormat="1" ht="220.8">
      <c r="A474" s="6" t="s">
        <v>39</v>
      </c>
      <c r="B474" s="7" t="s">
        <v>2263</v>
      </c>
      <c r="C474" s="7" t="s">
        <v>573</v>
      </c>
      <c r="D474" s="6" t="s">
        <v>2477</v>
      </c>
      <c r="E474" s="6" t="s">
        <v>2478</v>
      </c>
      <c r="F474" s="6" t="s">
        <v>40</v>
      </c>
      <c r="G474" s="6" t="s">
        <v>2479</v>
      </c>
      <c r="H474" s="6" t="s">
        <v>2480</v>
      </c>
      <c r="I474" s="7" t="s">
        <v>2268</v>
      </c>
      <c r="J474" s="7" t="s">
        <v>2147</v>
      </c>
      <c r="K474" s="7" t="s">
        <v>2481</v>
      </c>
      <c r="L474" s="6" t="s">
        <v>43</v>
      </c>
      <c r="M474" s="8">
        <v>18800</v>
      </c>
      <c r="N474" s="6" t="s">
        <v>2482</v>
      </c>
      <c r="O474" s="24">
        <v>1</v>
      </c>
      <c r="P474" s="8">
        <v>18800</v>
      </c>
      <c r="Q474" s="6" t="s">
        <v>2482</v>
      </c>
      <c r="R474" s="6" t="s">
        <v>2447</v>
      </c>
      <c r="S474" s="6" t="s">
        <v>2485</v>
      </c>
      <c r="T474" s="10" t="s">
        <v>2483</v>
      </c>
      <c r="U474" s="10" t="s">
        <v>2484</v>
      </c>
      <c r="V474" s="6" t="s">
        <v>2496</v>
      </c>
      <c r="W474" s="8">
        <v>18800</v>
      </c>
      <c r="X474" s="6" t="s">
        <v>74</v>
      </c>
    </row>
    <row r="475" spans="1:25" s="6" customFormat="1" ht="220.8">
      <c r="A475" s="6" t="s">
        <v>39</v>
      </c>
      <c r="B475" s="7" t="s">
        <v>2263</v>
      </c>
      <c r="C475" s="7" t="s">
        <v>573</v>
      </c>
      <c r="D475" s="6" t="s">
        <v>2477</v>
      </c>
      <c r="E475" s="6" t="s">
        <v>2486</v>
      </c>
      <c r="F475" s="6" t="s">
        <v>40</v>
      </c>
      <c r="G475" s="6" t="s">
        <v>2479</v>
      </c>
      <c r="H475" s="6" t="s">
        <v>2480</v>
      </c>
      <c r="I475" s="7" t="s">
        <v>2405</v>
      </c>
      <c r="J475" s="7" t="s">
        <v>2405</v>
      </c>
      <c r="K475" s="7" t="s">
        <v>1171</v>
      </c>
      <c r="L475" s="6" t="s">
        <v>43</v>
      </c>
      <c r="M475" s="8">
        <v>6500</v>
      </c>
      <c r="N475" s="6" t="s">
        <v>2487</v>
      </c>
      <c r="O475" s="24">
        <v>1</v>
      </c>
      <c r="P475" s="8">
        <v>6500</v>
      </c>
      <c r="Q475" s="6" t="s">
        <v>2487</v>
      </c>
      <c r="R475" s="6" t="s">
        <v>2447</v>
      </c>
      <c r="S475" s="6" t="s">
        <v>2485</v>
      </c>
      <c r="T475" s="10" t="s">
        <v>2488</v>
      </c>
      <c r="U475" s="17" t="s">
        <v>2489</v>
      </c>
      <c r="V475" s="6" t="s">
        <v>2497</v>
      </c>
      <c r="W475" s="8">
        <v>6500</v>
      </c>
      <c r="X475" s="6" t="s">
        <v>74</v>
      </c>
    </row>
    <row r="476" spans="1:25" s="6" customFormat="1" ht="289.8">
      <c r="A476" s="6" t="s">
        <v>39</v>
      </c>
      <c r="B476" s="7" t="s">
        <v>2263</v>
      </c>
      <c r="C476" s="7" t="s">
        <v>1318</v>
      </c>
      <c r="D476" s="6" t="s">
        <v>2490</v>
      </c>
      <c r="E476" s="6" t="s">
        <v>2491</v>
      </c>
      <c r="F476" s="6" t="s">
        <v>40</v>
      </c>
      <c r="G476" s="6" t="s">
        <v>55</v>
      </c>
      <c r="H476" s="6" t="s">
        <v>158</v>
      </c>
      <c r="I476" s="7" t="s">
        <v>2182</v>
      </c>
      <c r="J476" s="7" t="s">
        <v>2268</v>
      </c>
      <c r="K476" s="7" t="s">
        <v>1199</v>
      </c>
      <c r="L476" s="6" t="s">
        <v>43</v>
      </c>
      <c r="M476" s="8">
        <v>4250</v>
      </c>
      <c r="N476" s="6" t="s">
        <v>2492</v>
      </c>
      <c r="O476" s="24">
        <v>1</v>
      </c>
      <c r="P476" s="8">
        <v>4250</v>
      </c>
      <c r="Q476" s="6" t="s">
        <v>2492</v>
      </c>
      <c r="R476" s="6" t="s">
        <v>291</v>
      </c>
      <c r="S476" s="6" t="s">
        <v>2493</v>
      </c>
      <c r="T476" s="10" t="s">
        <v>2494</v>
      </c>
      <c r="U476" s="10" t="s">
        <v>2495</v>
      </c>
      <c r="V476" s="6" t="s">
        <v>59</v>
      </c>
      <c r="W476" s="8">
        <v>59147894</v>
      </c>
      <c r="X476" s="6" t="s">
        <v>74</v>
      </c>
    </row>
    <row r="477" spans="1:25" s="6" customFormat="1" ht="345">
      <c r="A477" s="6" t="s">
        <v>39</v>
      </c>
      <c r="B477" s="7" t="s">
        <v>2263</v>
      </c>
      <c r="C477" s="7" t="s">
        <v>582</v>
      </c>
      <c r="D477" s="6" t="s">
        <v>2498</v>
      </c>
      <c r="E477" s="6" t="s">
        <v>2499</v>
      </c>
      <c r="F477" s="6" t="s">
        <v>40</v>
      </c>
      <c r="G477" s="6" t="s">
        <v>55</v>
      </c>
      <c r="H477" s="6" t="s">
        <v>567</v>
      </c>
      <c r="I477" s="7" t="s">
        <v>2268</v>
      </c>
      <c r="J477" s="7" t="s">
        <v>2419</v>
      </c>
      <c r="K477" s="7" t="s">
        <v>2500</v>
      </c>
      <c r="L477" s="6" t="s">
        <v>43</v>
      </c>
      <c r="M477" s="8">
        <v>2095</v>
      </c>
      <c r="N477" s="6" t="s">
        <v>2501</v>
      </c>
      <c r="O477" s="24">
        <v>1</v>
      </c>
      <c r="P477" s="8">
        <v>2095</v>
      </c>
      <c r="Q477" s="6" t="s">
        <v>2501</v>
      </c>
      <c r="R477" s="6" t="s">
        <v>291</v>
      </c>
      <c r="S477" s="6" t="s">
        <v>2502</v>
      </c>
      <c r="T477" s="10" t="s">
        <v>2503</v>
      </c>
      <c r="U477" s="10" t="s">
        <v>2504</v>
      </c>
      <c r="V477" s="6" t="s">
        <v>59</v>
      </c>
      <c r="W477" s="8">
        <v>24798747.100000001</v>
      </c>
      <c r="X477" s="6" t="s">
        <v>74</v>
      </c>
    </row>
    <row r="478" spans="1:25" s="43" customFormat="1" ht="409.6">
      <c r="A478" s="37" t="s">
        <v>39</v>
      </c>
      <c r="B478" s="37">
        <v>19</v>
      </c>
      <c r="C478" s="38" t="s">
        <v>592</v>
      </c>
      <c r="D478" s="37" t="s">
        <v>3746</v>
      </c>
      <c r="E478" s="37" t="s">
        <v>3747</v>
      </c>
      <c r="F478" s="37" t="s">
        <v>2880</v>
      </c>
      <c r="G478" s="37" t="s">
        <v>55</v>
      </c>
      <c r="H478" s="37" t="s">
        <v>1685</v>
      </c>
      <c r="I478" s="38" t="s">
        <v>2419</v>
      </c>
      <c r="J478" s="38" t="s">
        <v>2662</v>
      </c>
      <c r="K478" s="37">
        <v>24</v>
      </c>
      <c r="L478" s="37" t="s">
        <v>2998</v>
      </c>
      <c r="M478" s="39">
        <v>118474</v>
      </c>
      <c r="N478" s="37" t="s">
        <v>3748</v>
      </c>
      <c r="O478" s="50" t="s">
        <v>461</v>
      </c>
      <c r="P478" s="45" t="s">
        <v>461</v>
      </c>
      <c r="Q478" s="48" t="s">
        <v>461</v>
      </c>
      <c r="R478" s="37" t="s">
        <v>1509</v>
      </c>
      <c r="S478" s="37" t="s">
        <v>3749</v>
      </c>
      <c r="T478" s="41" t="s">
        <v>3750</v>
      </c>
      <c r="U478" s="41" t="s">
        <v>3751</v>
      </c>
      <c r="V478" s="37" t="s">
        <v>59</v>
      </c>
      <c r="W478" s="39">
        <v>118474</v>
      </c>
      <c r="X478" s="37" t="s">
        <v>74</v>
      </c>
      <c r="Y478" s="37" t="s">
        <v>3752</v>
      </c>
    </row>
    <row r="479" spans="1:25" s="6" customFormat="1" ht="276">
      <c r="A479" s="6" t="s">
        <v>39</v>
      </c>
      <c r="B479" s="7" t="s">
        <v>2263</v>
      </c>
      <c r="C479" s="7" t="s">
        <v>597</v>
      </c>
      <c r="D479" s="6" t="s">
        <v>2505</v>
      </c>
      <c r="E479" s="6" t="s">
        <v>2506</v>
      </c>
      <c r="F479" s="6" t="s">
        <v>40</v>
      </c>
      <c r="G479" s="6" t="s">
        <v>55</v>
      </c>
      <c r="H479" s="6" t="s">
        <v>325</v>
      </c>
      <c r="I479" s="7" t="s">
        <v>2268</v>
      </c>
      <c r="J479" s="7" t="s">
        <v>2419</v>
      </c>
      <c r="K479" s="7" t="s">
        <v>2444</v>
      </c>
      <c r="L479" s="6" t="s">
        <v>43</v>
      </c>
      <c r="M479" s="8">
        <v>9060</v>
      </c>
      <c r="N479" s="6" t="s">
        <v>2507</v>
      </c>
      <c r="O479" s="24">
        <v>1</v>
      </c>
      <c r="P479" s="8">
        <v>9060</v>
      </c>
      <c r="Q479" s="6" t="s">
        <v>2507</v>
      </c>
      <c r="R479" s="6" t="s">
        <v>291</v>
      </c>
      <c r="S479" s="6" t="s">
        <v>1328</v>
      </c>
      <c r="T479" s="10" t="s">
        <v>2508</v>
      </c>
      <c r="U479" s="10" t="s">
        <v>2510</v>
      </c>
      <c r="V479" s="6" t="s">
        <v>59</v>
      </c>
      <c r="W479" s="8">
        <v>23085602.77</v>
      </c>
      <c r="X479" s="6" t="s">
        <v>74</v>
      </c>
    </row>
    <row r="480" spans="1:25" s="6" customFormat="1" ht="220.8">
      <c r="A480" s="6" t="s">
        <v>39</v>
      </c>
      <c r="B480" s="7" t="s">
        <v>2263</v>
      </c>
      <c r="C480" s="7" t="s">
        <v>604</v>
      </c>
      <c r="D480" s="6" t="s">
        <v>2511</v>
      </c>
      <c r="E480" s="6" t="s">
        <v>2512</v>
      </c>
      <c r="F480" s="6" t="s">
        <v>40</v>
      </c>
      <c r="G480" s="6" t="s">
        <v>2513</v>
      </c>
      <c r="H480" s="6" t="s">
        <v>2514</v>
      </c>
      <c r="I480" s="7" t="s">
        <v>2419</v>
      </c>
      <c r="J480" s="7" t="s">
        <v>2405</v>
      </c>
      <c r="K480" s="7" t="s">
        <v>2379</v>
      </c>
      <c r="L480" s="6" t="s">
        <v>43</v>
      </c>
      <c r="M480" s="8">
        <v>47190</v>
      </c>
      <c r="N480" s="6" t="s">
        <v>2518</v>
      </c>
      <c r="O480" s="24">
        <v>1</v>
      </c>
      <c r="P480" s="8">
        <v>47190</v>
      </c>
      <c r="Q480" s="6" t="s">
        <v>2518</v>
      </c>
      <c r="R480" s="6" t="s">
        <v>2515</v>
      </c>
      <c r="S480" s="6" t="s">
        <v>2516</v>
      </c>
      <c r="T480" s="10" t="s">
        <v>2517</v>
      </c>
      <c r="U480" s="10" t="s">
        <v>2519</v>
      </c>
      <c r="V480" s="6" t="s">
        <v>59</v>
      </c>
      <c r="W480" s="8">
        <v>47190</v>
      </c>
      <c r="X480" s="6" t="s">
        <v>74</v>
      </c>
    </row>
    <row r="481" spans="1:25" s="6" customFormat="1" ht="220.8">
      <c r="A481" s="6" t="s">
        <v>39</v>
      </c>
      <c r="B481" s="6">
        <v>20</v>
      </c>
      <c r="C481" s="7" t="s">
        <v>80</v>
      </c>
      <c r="D481" s="6" t="s">
        <v>3753</v>
      </c>
      <c r="E481" s="6" t="s">
        <v>3755</v>
      </c>
      <c r="F481" s="6" t="s">
        <v>1278</v>
      </c>
      <c r="G481" s="6" t="s">
        <v>55</v>
      </c>
      <c r="H481" s="6" t="s">
        <v>214</v>
      </c>
      <c r="I481" s="7" t="s">
        <v>2419</v>
      </c>
      <c r="J481" s="7" t="s">
        <v>2640</v>
      </c>
      <c r="K481" s="6">
        <v>12</v>
      </c>
      <c r="L481" s="6" t="s">
        <v>43</v>
      </c>
      <c r="M481" s="8">
        <v>99300</v>
      </c>
      <c r="N481" s="6" t="s">
        <v>3754</v>
      </c>
      <c r="O481" s="24">
        <v>1</v>
      </c>
      <c r="P481" s="8">
        <v>99300</v>
      </c>
      <c r="Q481" s="6" t="s">
        <v>3754</v>
      </c>
      <c r="R481" s="24" t="s">
        <v>1522</v>
      </c>
      <c r="S481" s="6" t="s">
        <v>3759</v>
      </c>
      <c r="T481" s="10" t="s">
        <v>3756</v>
      </c>
      <c r="U481" s="10" t="s">
        <v>3757</v>
      </c>
      <c r="V481" s="6" t="s">
        <v>59</v>
      </c>
      <c r="W481" s="8">
        <v>99300</v>
      </c>
      <c r="X481" s="6" t="s">
        <v>74</v>
      </c>
      <c r="Y481" s="6" t="s">
        <v>3758</v>
      </c>
    </row>
    <row r="482" spans="1:25" s="6" customFormat="1" ht="234.6">
      <c r="A482" s="6" t="s">
        <v>39</v>
      </c>
      <c r="B482" s="6">
        <v>20</v>
      </c>
      <c r="C482" s="7" t="s">
        <v>80</v>
      </c>
      <c r="D482" s="6" t="s">
        <v>3753</v>
      </c>
      <c r="E482" s="6" t="s">
        <v>1520</v>
      </c>
      <c r="F482" s="6" t="s">
        <v>1278</v>
      </c>
      <c r="G482" s="6" t="s">
        <v>55</v>
      </c>
      <c r="H482" s="6" t="s">
        <v>214</v>
      </c>
      <c r="I482" s="7" t="s">
        <v>2419</v>
      </c>
      <c r="J482" s="7" t="s">
        <v>2640</v>
      </c>
      <c r="K482" s="6">
        <v>12</v>
      </c>
      <c r="L482" s="6" t="s">
        <v>43</v>
      </c>
      <c r="M482" s="8">
        <v>105600</v>
      </c>
      <c r="N482" s="6" t="s">
        <v>3760</v>
      </c>
      <c r="O482" s="24">
        <v>1</v>
      </c>
      <c r="P482" s="8">
        <v>105600</v>
      </c>
      <c r="Q482" s="6" t="s">
        <v>3760</v>
      </c>
      <c r="R482" s="24" t="s">
        <v>1522</v>
      </c>
      <c r="S482" s="6" t="s">
        <v>3759</v>
      </c>
      <c r="T482" s="10" t="s">
        <v>3761</v>
      </c>
      <c r="U482" s="10" t="s">
        <v>3762</v>
      </c>
      <c r="V482" s="6" t="s">
        <v>59</v>
      </c>
      <c r="W482" s="8">
        <v>105600</v>
      </c>
      <c r="X482" s="6" t="s">
        <v>74</v>
      </c>
      <c r="Y482" s="6" t="s">
        <v>3758</v>
      </c>
    </row>
    <row r="483" spans="1:25" s="6" customFormat="1" ht="276">
      <c r="A483" s="6" t="s">
        <v>39</v>
      </c>
      <c r="B483" s="7" t="s">
        <v>2520</v>
      </c>
      <c r="C483" s="7" t="s">
        <v>93</v>
      </c>
      <c r="D483" s="6" t="s">
        <v>2521</v>
      </c>
      <c r="E483" s="6" t="s">
        <v>2522</v>
      </c>
      <c r="F483" s="6" t="s">
        <v>2879</v>
      </c>
      <c r="G483" s="6" t="s">
        <v>55</v>
      </c>
      <c r="H483" s="6" t="s">
        <v>202</v>
      </c>
      <c r="I483" s="7" t="s">
        <v>2405</v>
      </c>
      <c r="J483" s="7" t="s">
        <v>2405</v>
      </c>
      <c r="K483" s="7" t="s">
        <v>1313</v>
      </c>
      <c r="L483" s="6" t="s">
        <v>2906</v>
      </c>
      <c r="M483" s="8">
        <v>10454.4</v>
      </c>
      <c r="N483" s="6" t="s">
        <v>2523</v>
      </c>
      <c r="O483" s="24">
        <v>1</v>
      </c>
      <c r="P483" s="8">
        <v>10454.4</v>
      </c>
      <c r="Q483" s="6" t="s">
        <v>2523</v>
      </c>
      <c r="R483" s="6" t="s">
        <v>2301</v>
      </c>
      <c r="S483" s="6" t="s">
        <v>2524</v>
      </c>
      <c r="T483" s="10" t="s">
        <v>2525</v>
      </c>
      <c r="U483" s="10" t="s">
        <v>2526</v>
      </c>
      <c r="V483" s="6" t="s">
        <v>59</v>
      </c>
      <c r="W483" s="8">
        <v>10454.5</v>
      </c>
      <c r="X483" s="6" t="s">
        <v>74</v>
      </c>
    </row>
    <row r="484" spans="1:25" s="6" customFormat="1" ht="248.4">
      <c r="A484" s="6" t="s">
        <v>39</v>
      </c>
      <c r="B484" s="7" t="s">
        <v>2520</v>
      </c>
      <c r="C484" s="7" t="s">
        <v>104</v>
      </c>
      <c r="D484" s="6" t="s">
        <v>3763</v>
      </c>
      <c r="E484" s="6" t="s">
        <v>3764</v>
      </c>
      <c r="F484" s="6" t="s">
        <v>2880</v>
      </c>
      <c r="G484" s="6" t="s">
        <v>55</v>
      </c>
      <c r="H484" s="6" t="s">
        <v>1492</v>
      </c>
      <c r="I484" s="7" t="s">
        <v>2405</v>
      </c>
      <c r="J484" s="7" t="s">
        <v>3765</v>
      </c>
      <c r="K484" s="7" t="s">
        <v>3766</v>
      </c>
      <c r="L484" s="6" t="s">
        <v>2906</v>
      </c>
      <c r="M484" s="8">
        <v>7890</v>
      </c>
      <c r="N484" s="6" t="s">
        <v>3767</v>
      </c>
      <c r="O484" s="24">
        <v>1</v>
      </c>
      <c r="P484" s="8">
        <v>23670</v>
      </c>
      <c r="Q484" s="6" t="s">
        <v>3768</v>
      </c>
      <c r="R484" s="6" t="s">
        <v>1509</v>
      </c>
      <c r="S484" s="6" t="s">
        <v>3769</v>
      </c>
      <c r="T484" s="10" t="s">
        <v>3770</v>
      </c>
      <c r="U484" s="10" t="s">
        <v>3771</v>
      </c>
      <c r="V484" s="6" t="s">
        <v>59</v>
      </c>
      <c r="W484" s="8">
        <v>23670</v>
      </c>
      <c r="X484" s="6" t="s">
        <v>74</v>
      </c>
      <c r="Y484" s="6" t="s">
        <v>3772</v>
      </c>
    </row>
    <row r="485" spans="1:25" s="6" customFormat="1" ht="409.6">
      <c r="A485" s="6" t="s">
        <v>39</v>
      </c>
      <c r="B485" s="6">
        <v>20</v>
      </c>
      <c r="C485" s="7" t="s">
        <v>113</v>
      </c>
      <c r="D485" s="6" t="s">
        <v>2527</v>
      </c>
      <c r="E485" s="6" t="s">
        <v>2535</v>
      </c>
      <c r="F485" s="6" t="s">
        <v>1278</v>
      </c>
      <c r="G485" s="6" t="s">
        <v>2528</v>
      </c>
      <c r="H485" s="6" t="s">
        <v>2529</v>
      </c>
      <c r="I485" s="7" t="s">
        <v>2405</v>
      </c>
      <c r="J485" s="7" t="s">
        <v>2530</v>
      </c>
      <c r="K485" s="6">
        <v>16</v>
      </c>
      <c r="L485" s="6" t="s">
        <v>289</v>
      </c>
      <c r="M485" s="8">
        <v>1969995.84</v>
      </c>
      <c r="N485" s="6" t="s">
        <v>2531</v>
      </c>
      <c r="O485" s="24">
        <v>0.2</v>
      </c>
      <c r="P485" s="8">
        <v>484741.37</v>
      </c>
      <c r="Q485" s="6" t="s">
        <v>2532</v>
      </c>
      <c r="R485" s="24" t="s">
        <v>2533</v>
      </c>
      <c r="S485" s="6" t="s">
        <v>2534</v>
      </c>
      <c r="T485" s="10" t="s">
        <v>2536</v>
      </c>
      <c r="U485" s="10" t="s">
        <v>2537</v>
      </c>
      <c r="V485" s="6" t="s">
        <v>59</v>
      </c>
      <c r="W485" s="6" t="s">
        <v>2538</v>
      </c>
      <c r="X485" s="6" t="s">
        <v>74</v>
      </c>
      <c r="Y485" s="6" t="s">
        <v>2539</v>
      </c>
    </row>
    <row r="486" spans="1:25" s="6" customFormat="1" ht="165.6">
      <c r="A486" s="26" t="s">
        <v>39</v>
      </c>
      <c r="B486" s="27" t="s">
        <v>2520</v>
      </c>
      <c r="C486" s="27" t="s">
        <v>167</v>
      </c>
      <c r="D486" s="6" t="s">
        <v>2540</v>
      </c>
      <c r="E486" s="26" t="s">
        <v>461</v>
      </c>
      <c r="F486" s="26" t="s">
        <v>461</v>
      </c>
      <c r="G486" s="26" t="s">
        <v>461</v>
      </c>
      <c r="H486" s="26" t="s">
        <v>461</v>
      </c>
      <c r="I486" s="27" t="s">
        <v>461</v>
      </c>
      <c r="J486" s="27" t="s">
        <v>461</v>
      </c>
      <c r="K486" s="27" t="s">
        <v>461</v>
      </c>
      <c r="L486" s="26" t="s">
        <v>461</v>
      </c>
      <c r="M486" s="26" t="s">
        <v>461</v>
      </c>
      <c r="N486" s="26" t="s">
        <v>461</v>
      </c>
      <c r="O486" s="26" t="s">
        <v>461</v>
      </c>
      <c r="P486" s="27" t="s">
        <v>461</v>
      </c>
      <c r="Q486" s="27" t="s">
        <v>461</v>
      </c>
      <c r="R486" s="27" t="s">
        <v>461</v>
      </c>
      <c r="S486" s="26" t="s">
        <v>461</v>
      </c>
      <c r="T486" s="26" t="s">
        <v>461</v>
      </c>
      <c r="U486" s="26" t="s">
        <v>461</v>
      </c>
      <c r="V486" s="26" t="s">
        <v>461</v>
      </c>
      <c r="W486" s="27" t="s">
        <v>461</v>
      </c>
      <c r="X486" s="27" t="s">
        <v>461</v>
      </c>
      <c r="Y486" s="26" t="s">
        <v>4102</v>
      </c>
    </row>
    <row r="487" spans="1:25" s="6" customFormat="1" ht="317.39999999999998">
      <c r="A487" s="6" t="s">
        <v>39</v>
      </c>
      <c r="B487" s="7" t="s">
        <v>2520</v>
      </c>
      <c r="C487" s="7" t="s">
        <v>176</v>
      </c>
      <c r="D487" s="6" t="s">
        <v>2541</v>
      </c>
      <c r="E487" s="6" t="s">
        <v>2542</v>
      </c>
      <c r="F487" s="6" t="s">
        <v>40</v>
      </c>
      <c r="G487" s="6" t="s">
        <v>55</v>
      </c>
      <c r="H487" s="6" t="s">
        <v>1600</v>
      </c>
      <c r="I487" s="7" t="s">
        <v>2405</v>
      </c>
      <c r="J487" s="7" t="s">
        <v>2405</v>
      </c>
      <c r="K487" s="7" t="s">
        <v>2379</v>
      </c>
      <c r="L487" s="6" t="s">
        <v>43</v>
      </c>
      <c r="M487" s="8">
        <v>8030</v>
      </c>
      <c r="N487" s="6" t="s">
        <v>2543</v>
      </c>
      <c r="O487" s="24">
        <v>1</v>
      </c>
      <c r="P487" s="8">
        <v>8030</v>
      </c>
      <c r="Q487" s="6" t="s">
        <v>2543</v>
      </c>
      <c r="R487" s="6" t="s">
        <v>291</v>
      </c>
      <c r="S487" s="6" t="s">
        <v>2544</v>
      </c>
      <c r="T487" s="10" t="s">
        <v>2545</v>
      </c>
      <c r="U487" s="10" t="s">
        <v>2510</v>
      </c>
      <c r="V487" s="6" t="s">
        <v>59</v>
      </c>
      <c r="W487" s="8">
        <v>9137727.4499999993</v>
      </c>
      <c r="X487" s="6" t="s">
        <v>74</v>
      </c>
      <c r="Y487" s="6" t="s">
        <v>2546</v>
      </c>
    </row>
    <row r="488" spans="1:25" s="6" customFormat="1" ht="317.39999999999998">
      <c r="A488" s="6" t="s">
        <v>39</v>
      </c>
      <c r="B488" s="7" t="s">
        <v>2520</v>
      </c>
      <c r="C488" s="7" t="s">
        <v>183</v>
      </c>
      <c r="D488" s="6" t="s">
        <v>2547</v>
      </c>
      <c r="E488" s="6" t="s">
        <v>2548</v>
      </c>
      <c r="F488" s="6" t="s">
        <v>40</v>
      </c>
      <c r="G488" s="6" t="s">
        <v>55</v>
      </c>
      <c r="H488" s="6" t="s">
        <v>2549</v>
      </c>
      <c r="I488" s="7" t="s">
        <v>2405</v>
      </c>
      <c r="J488" s="7" t="s">
        <v>2405</v>
      </c>
      <c r="K488" s="7" t="s">
        <v>2379</v>
      </c>
      <c r="L488" s="6" t="s">
        <v>43</v>
      </c>
      <c r="M488" s="8">
        <v>8530</v>
      </c>
      <c r="N488" s="6" t="s">
        <v>2550</v>
      </c>
      <c r="O488" s="24">
        <v>1</v>
      </c>
      <c r="P488" s="8">
        <v>8530</v>
      </c>
      <c r="Q488" s="6" t="s">
        <v>2550</v>
      </c>
      <c r="R488" s="6" t="s">
        <v>291</v>
      </c>
      <c r="S488" s="6" t="s">
        <v>2544</v>
      </c>
      <c r="T488" s="10" t="s">
        <v>2551</v>
      </c>
      <c r="U488" s="10" t="s">
        <v>2510</v>
      </c>
      <c r="V488" s="6" t="s">
        <v>59</v>
      </c>
      <c r="W488" s="8">
        <v>11487587.67</v>
      </c>
      <c r="X488" s="6" t="s">
        <v>74</v>
      </c>
    </row>
    <row r="489" spans="1:25" s="6" customFormat="1" ht="248.4">
      <c r="A489" s="6" t="s">
        <v>39</v>
      </c>
      <c r="B489" s="7" t="s">
        <v>2520</v>
      </c>
      <c r="C489" s="7" t="s">
        <v>114</v>
      </c>
      <c r="D489" s="6" t="s">
        <v>3862</v>
      </c>
      <c r="E489" s="6" t="s">
        <v>3863</v>
      </c>
      <c r="F489" s="6" t="s">
        <v>2880</v>
      </c>
      <c r="G489" s="6" t="s">
        <v>55</v>
      </c>
      <c r="H489" s="6" t="s">
        <v>158</v>
      </c>
      <c r="I489" s="7" t="s">
        <v>1677</v>
      </c>
      <c r="J489" s="7" t="s">
        <v>1850</v>
      </c>
      <c r="K489" s="7" t="s">
        <v>3864</v>
      </c>
      <c r="L489" s="6" t="s">
        <v>2906</v>
      </c>
      <c r="M489" s="8">
        <v>21000</v>
      </c>
      <c r="N489" s="6" t="s">
        <v>3865</v>
      </c>
      <c r="O489" s="24">
        <v>1</v>
      </c>
      <c r="P489" s="8">
        <v>0</v>
      </c>
      <c r="Q489" s="6" t="s">
        <v>2143</v>
      </c>
      <c r="R489" s="6" t="s">
        <v>3854</v>
      </c>
      <c r="S489" s="6" t="s">
        <v>3866</v>
      </c>
      <c r="T489" s="10" t="s">
        <v>3867</v>
      </c>
      <c r="U489" s="10" t="s">
        <v>3868</v>
      </c>
      <c r="V489" s="6" t="s">
        <v>59</v>
      </c>
      <c r="W489" s="8" t="s">
        <v>3869</v>
      </c>
      <c r="X489" s="6" t="s">
        <v>74</v>
      </c>
      <c r="Y489" s="6" t="s">
        <v>3870</v>
      </c>
    </row>
    <row r="490" spans="1:25" s="6" customFormat="1" ht="248.4">
      <c r="A490" s="6" t="s">
        <v>39</v>
      </c>
      <c r="B490" s="6">
        <v>20</v>
      </c>
      <c r="C490" s="7" t="s">
        <v>125</v>
      </c>
      <c r="D490" s="6" t="s">
        <v>2552</v>
      </c>
      <c r="E490" s="6" t="s">
        <v>2553</v>
      </c>
      <c r="F490" s="6" t="s">
        <v>1568</v>
      </c>
      <c r="G490" s="6" t="s">
        <v>55</v>
      </c>
      <c r="H490" s="6" t="s">
        <v>158</v>
      </c>
      <c r="I490" s="7" t="s">
        <v>1677</v>
      </c>
      <c r="J490" s="7" t="s">
        <v>1805</v>
      </c>
      <c r="K490" s="6">
        <v>1</v>
      </c>
      <c r="L490" s="6" t="s">
        <v>1589</v>
      </c>
      <c r="M490" s="8">
        <v>300</v>
      </c>
      <c r="N490" s="6" t="s">
        <v>2554</v>
      </c>
      <c r="O490" s="24">
        <v>1</v>
      </c>
      <c r="P490" s="8">
        <v>300</v>
      </c>
      <c r="Q490" s="6" t="s">
        <v>2554</v>
      </c>
      <c r="R490" s="6" t="s">
        <v>2555</v>
      </c>
      <c r="S490" s="6" t="s">
        <v>2556</v>
      </c>
      <c r="T490" s="10" t="s">
        <v>2557</v>
      </c>
      <c r="U490" s="10" t="s">
        <v>2558</v>
      </c>
      <c r="V490" s="6" t="s">
        <v>59</v>
      </c>
      <c r="W490" s="8">
        <v>300</v>
      </c>
      <c r="X490" s="6" t="s">
        <v>74</v>
      </c>
    </row>
    <row r="491" spans="1:25" s="6" customFormat="1" ht="276">
      <c r="A491" s="6" t="s">
        <v>39</v>
      </c>
      <c r="B491" s="6">
        <v>20</v>
      </c>
      <c r="C491" s="7" t="s">
        <v>134</v>
      </c>
      <c r="D491" s="6" t="s">
        <v>2559</v>
      </c>
      <c r="E491" s="6" t="s">
        <v>2560</v>
      </c>
      <c r="F491" s="6" t="s">
        <v>1568</v>
      </c>
      <c r="G491" s="6" t="s">
        <v>55</v>
      </c>
      <c r="H491" s="6" t="s">
        <v>158</v>
      </c>
      <c r="I491" s="7" t="s">
        <v>1805</v>
      </c>
      <c r="J491" s="7" t="s">
        <v>2103</v>
      </c>
      <c r="K491" s="6">
        <v>15</v>
      </c>
      <c r="L491" s="6" t="s">
        <v>1589</v>
      </c>
      <c r="M491" s="8">
        <v>6000</v>
      </c>
      <c r="N491" s="6" t="s">
        <v>2561</v>
      </c>
      <c r="O491" s="24">
        <v>1</v>
      </c>
      <c r="P491" s="8">
        <v>6000</v>
      </c>
      <c r="Q491" s="6" t="s">
        <v>2561</v>
      </c>
      <c r="R491" s="6" t="s">
        <v>2555</v>
      </c>
      <c r="S491" s="6" t="s">
        <v>2556</v>
      </c>
      <c r="T491" s="10" t="s">
        <v>2562</v>
      </c>
      <c r="U491" s="10" t="s">
        <v>2563</v>
      </c>
      <c r="V491" s="6" t="s">
        <v>59</v>
      </c>
      <c r="W491" s="8">
        <v>6000</v>
      </c>
      <c r="X491" s="6" t="s">
        <v>74</v>
      </c>
    </row>
    <row r="492" spans="1:25" s="6" customFormat="1" ht="289.8">
      <c r="A492" s="26" t="s">
        <v>39</v>
      </c>
      <c r="B492" s="26">
        <v>20</v>
      </c>
      <c r="C492" s="27" t="s">
        <v>191</v>
      </c>
      <c r="D492" s="26" t="s">
        <v>2895</v>
      </c>
      <c r="E492" s="26" t="s">
        <v>2896</v>
      </c>
      <c r="F492" s="26" t="s">
        <v>1278</v>
      </c>
      <c r="G492" s="26" t="s">
        <v>55</v>
      </c>
      <c r="H492" s="26" t="s">
        <v>1685</v>
      </c>
      <c r="I492" s="27" t="s">
        <v>2207</v>
      </c>
      <c r="J492" s="27" t="s">
        <v>2897</v>
      </c>
      <c r="K492" s="26">
        <v>72</v>
      </c>
      <c r="L492" s="26" t="s">
        <v>1576</v>
      </c>
      <c r="M492" s="55">
        <v>13448726.800000001</v>
      </c>
      <c r="N492" s="56" t="s">
        <v>2898</v>
      </c>
      <c r="O492" s="57">
        <v>1</v>
      </c>
      <c r="P492" s="55">
        <v>1528074.88</v>
      </c>
      <c r="Q492" s="56" t="s">
        <v>2902</v>
      </c>
      <c r="R492" s="57" t="s">
        <v>2674</v>
      </c>
      <c r="S492" s="56" t="s">
        <v>2899</v>
      </c>
      <c r="T492" s="58" t="s">
        <v>2900</v>
      </c>
      <c r="U492" s="58" t="s">
        <v>2901</v>
      </c>
      <c r="V492" s="56" t="s">
        <v>59</v>
      </c>
      <c r="W492" s="55">
        <v>13448726.800000001</v>
      </c>
      <c r="X492" s="6" t="s">
        <v>74</v>
      </c>
    </row>
    <row r="493" spans="1:25" s="6" customFormat="1" ht="234.6">
      <c r="A493" s="6" t="s">
        <v>39</v>
      </c>
      <c r="B493" s="6">
        <v>20</v>
      </c>
      <c r="C493" s="7" t="s">
        <v>273</v>
      </c>
      <c r="D493" s="6" t="s">
        <v>3871</v>
      </c>
      <c r="E493" s="6" t="s">
        <v>3872</v>
      </c>
      <c r="F493" s="6" t="s">
        <v>2880</v>
      </c>
      <c r="G493" s="6" t="s">
        <v>55</v>
      </c>
      <c r="H493" s="6" t="s">
        <v>158</v>
      </c>
      <c r="I493" s="7" t="s">
        <v>1989</v>
      </c>
      <c r="J493" s="7" t="s">
        <v>2615</v>
      </c>
      <c r="K493" s="6">
        <v>12</v>
      </c>
      <c r="L493" s="6" t="s">
        <v>2906</v>
      </c>
      <c r="M493" s="8">
        <v>50000</v>
      </c>
      <c r="N493" s="6" t="s">
        <v>3873</v>
      </c>
      <c r="O493" s="24">
        <v>1</v>
      </c>
      <c r="P493" s="8">
        <v>50000</v>
      </c>
      <c r="Q493" s="6" t="s">
        <v>3873</v>
      </c>
      <c r="R493" s="24" t="s">
        <v>3854</v>
      </c>
      <c r="S493" s="6" t="s">
        <v>3866</v>
      </c>
      <c r="T493" s="10" t="s">
        <v>3874</v>
      </c>
      <c r="U493" s="10" t="s">
        <v>3875</v>
      </c>
      <c r="V493" s="6" t="s">
        <v>59</v>
      </c>
      <c r="W493" s="8">
        <v>1618365.58</v>
      </c>
      <c r="X493" s="6" t="s">
        <v>74</v>
      </c>
    </row>
    <row r="494" spans="1:25" s="6" customFormat="1" ht="289.8">
      <c r="A494" s="6" t="s">
        <v>39</v>
      </c>
      <c r="B494" s="6">
        <v>20</v>
      </c>
      <c r="C494" s="7" t="s">
        <v>192</v>
      </c>
      <c r="D494" s="6" t="s">
        <v>2564</v>
      </c>
      <c r="E494" s="6" t="s">
        <v>2565</v>
      </c>
      <c r="F494" s="6" t="s">
        <v>1568</v>
      </c>
      <c r="G494" s="6" t="s">
        <v>55</v>
      </c>
      <c r="H494" s="6" t="s">
        <v>613</v>
      </c>
      <c r="I494" s="7" t="s">
        <v>1850</v>
      </c>
      <c r="J494" s="7" t="s">
        <v>1850</v>
      </c>
      <c r="K494" s="6" t="s">
        <v>1171</v>
      </c>
      <c r="L494" s="6" t="s">
        <v>1589</v>
      </c>
      <c r="M494" s="8">
        <v>1310</v>
      </c>
      <c r="N494" s="6" t="s">
        <v>2566</v>
      </c>
      <c r="O494" s="24">
        <v>1</v>
      </c>
      <c r="P494" s="8">
        <v>1310</v>
      </c>
      <c r="Q494" s="6" t="s">
        <v>2566</v>
      </c>
      <c r="R494" s="6" t="s">
        <v>1560</v>
      </c>
      <c r="S494" s="6" t="s">
        <v>1637</v>
      </c>
      <c r="T494" s="10" t="s">
        <v>2567</v>
      </c>
      <c r="U494" s="10" t="s">
        <v>2568</v>
      </c>
      <c r="V494" s="6" t="s">
        <v>59</v>
      </c>
      <c r="W494" s="8">
        <v>2023.81</v>
      </c>
      <c r="X494" s="6" t="s">
        <v>74</v>
      </c>
    </row>
    <row r="495" spans="1:25" s="6" customFormat="1" ht="289.8">
      <c r="A495" s="6" t="s">
        <v>39</v>
      </c>
      <c r="B495" s="6">
        <v>20</v>
      </c>
      <c r="C495" s="7" t="s">
        <v>192</v>
      </c>
      <c r="D495" s="6" t="s">
        <v>2564</v>
      </c>
      <c r="E495" s="6" t="s">
        <v>2565</v>
      </c>
      <c r="F495" s="6" t="s">
        <v>1568</v>
      </c>
      <c r="G495" s="6" t="s">
        <v>55</v>
      </c>
      <c r="H495" s="6" t="s">
        <v>613</v>
      </c>
      <c r="I495" s="7" t="s">
        <v>2207</v>
      </c>
      <c r="J495" s="7" t="s">
        <v>2207</v>
      </c>
      <c r="K495" s="6" t="s">
        <v>2345</v>
      </c>
      <c r="L495" s="6" t="s">
        <v>1589</v>
      </c>
      <c r="M495" s="8">
        <v>200</v>
      </c>
      <c r="N495" s="6" t="s">
        <v>2569</v>
      </c>
      <c r="O495" s="24">
        <v>1</v>
      </c>
      <c r="P495" s="8">
        <v>200</v>
      </c>
      <c r="Q495" s="6" t="s">
        <v>2569</v>
      </c>
      <c r="R495" s="6" t="s">
        <v>1560</v>
      </c>
      <c r="S495" s="6" t="s">
        <v>1637</v>
      </c>
      <c r="T495" s="10" t="s">
        <v>2567</v>
      </c>
      <c r="U495" s="10" t="s">
        <v>2570</v>
      </c>
      <c r="V495" s="6" t="s">
        <v>59</v>
      </c>
      <c r="W495" s="8">
        <v>200</v>
      </c>
      <c r="X495" s="6" t="s">
        <v>74</v>
      </c>
    </row>
    <row r="496" spans="1:25" s="6" customFormat="1" ht="409.6">
      <c r="A496" s="6" t="s">
        <v>39</v>
      </c>
      <c r="B496" s="7" t="s">
        <v>2520</v>
      </c>
      <c r="C496" s="7" t="s">
        <v>201</v>
      </c>
      <c r="D496" s="6" t="s">
        <v>2571</v>
      </c>
      <c r="E496" s="6" t="s">
        <v>2572</v>
      </c>
      <c r="F496" s="6" t="s">
        <v>40</v>
      </c>
      <c r="G496" s="6" t="s">
        <v>55</v>
      </c>
      <c r="H496" s="6" t="s">
        <v>508</v>
      </c>
      <c r="I496" s="7" t="s">
        <v>1850</v>
      </c>
      <c r="J496" s="7" t="s">
        <v>1850</v>
      </c>
      <c r="K496" s="7" t="s">
        <v>1171</v>
      </c>
      <c r="L496" s="6" t="s">
        <v>43</v>
      </c>
      <c r="M496" s="8">
        <v>7000</v>
      </c>
      <c r="N496" s="6" t="s">
        <v>2573</v>
      </c>
      <c r="O496" s="24">
        <v>1</v>
      </c>
      <c r="P496" s="8">
        <v>7000</v>
      </c>
      <c r="Q496" s="6" t="s">
        <v>2573</v>
      </c>
      <c r="R496" s="6" t="s">
        <v>2574</v>
      </c>
      <c r="S496" s="6" t="s">
        <v>2575</v>
      </c>
      <c r="T496" s="10" t="s">
        <v>2576</v>
      </c>
      <c r="U496" s="10" t="s">
        <v>2577</v>
      </c>
      <c r="V496" s="6" t="s">
        <v>59</v>
      </c>
      <c r="W496" s="8">
        <v>7957983.1900000004</v>
      </c>
      <c r="X496" s="6" t="s">
        <v>74</v>
      </c>
    </row>
    <row r="497" spans="1:25" s="6" customFormat="1" ht="409.6">
      <c r="A497" s="6" t="s">
        <v>39</v>
      </c>
      <c r="B497" s="6">
        <v>20</v>
      </c>
      <c r="C497" s="7" t="s">
        <v>285</v>
      </c>
      <c r="D497" s="6" t="s">
        <v>2578</v>
      </c>
      <c r="E497" s="6" t="s">
        <v>2579</v>
      </c>
      <c r="F497" s="6" t="s">
        <v>1568</v>
      </c>
      <c r="G497" s="6" t="s">
        <v>55</v>
      </c>
      <c r="H497" s="6" t="s">
        <v>158</v>
      </c>
      <c r="I497" s="7" t="s">
        <v>2207</v>
      </c>
      <c r="J497" s="7" t="s">
        <v>2580</v>
      </c>
      <c r="K497" s="6">
        <v>4</v>
      </c>
      <c r="L497" s="6" t="s">
        <v>1589</v>
      </c>
      <c r="M497" s="8">
        <v>12692.38</v>
      </c>
      <c r="N497" s="6" t="s">
        <v>2581</v>
      </c>
      <c r="O497" s="24">
        <v>1</v>
      </c>
      <c r="P497" s="8">
        <v>12692.38</v>
      </c>
      <c r="Q497" s="6" t="s">
        <v>2581</v>
      </c>
      <c r="R497" s="6" t="s">
        <v>2582</v>
      </c>
      <c r="S497" s="6" t="s">
        <v>2583</v>
      </c>
      <c r="T497" s="10" t="s">
        <v>2584</v>
      </c>
      <c r="U497" s="10" t="s">
        <v>2585</v>
      </c>
      <c r="V497" s="6" t="s">
        <v>59</v>
      </c>
      <c r="W497" s="8">
        <v>7374.76</v>
      </c>
      <c r="X497" s="6" t="s">
        <v>74</v>
      </c>
    </row>
    <row r="498" spans="1:25" s="6" customFormat="1" ht="262.2">
      <c r="A498" s="6" t="s">
        <v>39</v>
      </c>
      <c r="B498" s="6">
        <v>20</v>
      </c>
      <c r="C498" s="7" t="s">
        <v>295</v>
      </c>
      <c r="D498" s="6" t="s">
        <v>2586</v>
      </c>
      <c r="E498" s="6" t="s">
        <v>2587</v>
      </c>
      <c r="F498" s="6" t="s">
        <v>40</v>
      </c>
      <c r="G498" s="6" t="s">
        <v>55</v>
      </c>
      <c r="H498" s="6" t="s">
        <v>2588</v>
      </c>
      <c r="I498" s="7" t="s">
        <v>2207</v>
      </c>
      <c r="J498" s="7" t="s">
        <v>2589</v>
      </c>
      <c r="K498" s="7" t="s">
        <v>1331</v>
      </c>
      <c r="L498" s="6" t="s">
        <v>43</v>
      </c>
      <c r="M498" s="8">
        <v>8300</v>
      </c>
      <c r="N498" s="6" t="s">
        <v>2590</v>
      </c>
      <c r="O498" s="24">
        <v>1</v>
      </c>
      <c r="P498" s="8">
        <v>8300</v>
      </c>
      <c r="Q498" s="6" t="s">
        <v>2590</v>
      </c>
      <c r="R498" s="6" t="s">
        <v>2591</v>
      </c>
      <c r="S498" s="6" t="s">
        <v>2592</v>
      </c>
      <c r="T498" s="10" t="s">
        <v>2593</v>
      </c>
      <c r="U498" s="10" t="s">
        <v>2594</v>
      </c>
      <c r="V498" s="6" t="s">
        <v>59</v>
      </c>
      <c r="W498" s="8">
        <v>8300</v>
      </c>
      <c r="X498" s="6" t="s">
        <v>74</v>
      </c>
      <c r="Y498" s="6" t="s">
        <v>2595</v>
      </c>
    </row>
    <row r="499" spans="1:25" s="6" customFormat="1" ht="409.6">
      <c r="A499" s="6" t="s">
        <v>39</v>
      </c>
      <c r="B499" s="6">
        <v>20</v>
      </c>
      <c r="C499" s="7" t="s">
        <v>305</v>
      </c>
      <c r="D499" s="6" t="s">
        <v>2596</v>
      </c>
      <c r="E499" s="6" t="s">
        <v>2597</v>
      </c>
      <c r="F499" s="6" t="s">
        <v>40</v>
      </c>
      <c r="G499" s="6" t="s">
        <v>47</v>
      </c>
      <c r="H499" s="6" t="s">
        <v>2598</v>
      </c>
      <c r="I499" s="7" t="s">
        <v>2406</v>
      </c>
      <c r="J499" s="7" t="s">
        <v>2599</v>
      </c>
      <c r="K499" s="7" t="s">
        <v>1313</v>
      </c>
      <c r="L499" s="6" t="s">
        <v>43</v>
      </c>
      <c r="M499" s="8">
        <v>39412.22</v>
      </c>
      <c r="N499" s="6" t="s">
        <v>2600</v>
      </c>
      <c r="O499" s="24">
        <v>1</v>
      </c>
      <c r="P499" s="8">
        <v>39412.22</v>
      </c>
      <c r="Q499" s="6" t="s">
        <v>2600</v>
      </c>
      <c r="R499" s="6" t="s">
        <v>2447</v>
      </c>
      <c r="S499" s="6" t="s">
        <v>2601</v>
      </c>
      <c r="T499" s="10" t="s">
        <v>2602</v>
      </c>
      <c r="U499" s="10" t="s">
        <v>2603</v>
      </c>
      <c r="V499" s="6" t="s">
        <v>2604</v>
      </c>
      <c r="W499" s="8">
        <v>39412.22</v>
      </c>
      <c r="X499" s="6" t="s">
        <v>58</v>
      </c>
    </row>
    <row r="500" spans="1:25" s="6" customFormat="1" ht="409.6">
      <c r="A500" s="6" t="s">
        <v>39</v>
      </c>
      <c r="B500" s="6">
        <v>20</v>
      </c>
      <c r="C500" s="7" t="s">
        <v>314</v>
      </c>
      <c r="D500" s="6" t="s">
        <v>2903</v>
      </c>
      <c r="E500" s="6" t="s">
        <v>2904</v>
      </c>
      <c r="F500" s="6" t="s">
        <v>2880</v>
      </c>
      <c r="G500" s="6" t="s">
        <v>55</v>
      </c>
      <c r="H500" s="6" t="s">
        <v>1685</v>
      </c>
      <c r="I500" s="7" t="s">
        <v>2580</v>
      </c>
      <c r="J500" s="7" t="s">
        <v>2905</v>
      </c>
      <c r="K500" s="6">
        <v>48</v>
      </c>
      <c r="L500" s="6" t="s">
        <v>2906</v>
      </c>
      <c r="M500" s="8">
        <v>1435000</v>
      </c>
      <c r="N500" s="6" t="s">
        <v>2907</v>
      </c>
      <c r="O500" s="24">
        <v>1</v>
      </c>
      <c r="P500" s="8">
        <v>1435000</v>
      </c>
      <c r="Q500" s="6" t="s">
        <v>2907</v>
      </c>
      <c r="R500" s="6" t="s">
        <v>1509</v>
      </c>
      <c r="S500" s="6" t="s">
        <v>2908</v>
      </c>
      <c r="T500" s="10" t="s">
        <v>2909</v>
      </c>
      <c r="U500" s="10" t="s">
        <v>2910</v>
      </c>
      <c r="V500" s="6" t="s">
        <v>59</v>
      </c>
      <c r="W500" s="8">
        <v>1435000</v>
      </c>
      <c r="X500" s="6" t="s">
        <v>74</v>
      </c>
      <c r="Y500" s="6" t="s">
        <v>3803</v>
      </c>
    </row>
    <row r="501" spans="1:25" s="6" customFormat="1" ht="276">
      <c r="A501" s="6" t="s">
        <v>39</v>
      </c>
      <c r="B501" s="6">
        <v>20</v>
      </c>
      <c r="C501" s="7" t="s">
        <v>323</v>
      </c>
      <c r="D501" s="6" t="s">
        <v>2605</v>
      </c>
      <c r="E501" s="6" t="s">
        <v>2606</v>
      </c>
      <c r="F501" s="6" t="s">
        <v>40</v>
      </c>
      <c r="G501" s="6" t="s">
        <v>55</v>
      </c>
      <c r="H501" s="6" t="s">
        <v>1685</v>
      </c>
      <c r="I501" s="7" t="s">
        <v>2207</v>
      </c>
      <c r="J501" s="7" t="s">
        <v>2599</v>
      </c>
      <c r="K501" s="7" t="s">
        <v>2444</v>
      </c>
      <c r="L501" s="6" t="s">
        <v>43</v>
      </c>
      <c r="M501" s="8">
        <v>7600</v>
      </c>
      <c r="N501" s="8" t="s">
        <v>2607</v>
      </c>
      <c r="O501" s="24">
        <v>1</v>
      </c>
      <c r="P501" s="8">
        <v>7600</v>
      </c>
      <c r="Q501" s="8" t="s">
        <v>2607</v>
      </c>
      <c r="R501" s="6" t="s">
        <v>2608</v>
      </c>
      <c r="S501" s="6" t="s">
        <v>2609</v>
      </c>
      <c r="T501" s="10" t="s">
        <v>2610</v>
      </c>
      <c r="U501" s="10" t="s">
        <v>2611</v>
      </c>
      <c r="V501" s="6" t="s">
        <v>59</v>
      </c>
      <c r="W501" s="8">
        <v>7600</v>
      </c>
      <c r="X501" s="6" t="s">
        <v>74</v>
      </c>
    </row>
    <row r="502" spans="1:25" s="6" customFormat="1" ht="358.8">
      <c r="A502" s="6" t="s">
        <v>39</v>
      </c>
      <c r="B502" s="6">
        <v>20</v>
      </c>
      <c r="C502" s="7" t="s">
        <v>330</v>
      </c>
      <c r="D502" s="6" t="s">
        <v>2612</v>
      </c>
      <c r="E502" s="6" t="s">
        <v>2613</v>
      </c>
      <c r="F502" s="6" t="s">
        <v>1568</v>
      </c>
      <c r="G502" s="6" t="s">
        <v>55</v>
      </c>
      <c r="H502" s="6" t="s">
        <v>2614</v>
      </c>
      <c r="I502" s="7" t="s">
        <v>2599</v>
      </c>
      <c r="J502" s="7" t="s">
        <v>2615</v>
      </c>
      <c r="K502" s="6">
        <v>10</v>
      </c>
      <c r="L502" s="6" t="s">
        <v>1589</v>
      </c>
      <c r="M502" s="8">
        <v>17847.5</v>
      </c>
      <c r="N502" s="6" t="s">
        <v>2616</v>
      </c>
      <c r="O502" s="24">
        <v>1</v>
      </c>
      <c r="P502" s="8">
        <v>17847.5</v>
      </c>
      <c r="Q502" s="6" t="s">
        <v>2616</v>
      </c>
      <c r="R502" s="6" t="s">
        <v>2301</v>
      </c>
      <c r="S502" s="6" t="s">
        <v>2524</v>
      </c>
      <c r="T502" s="10" t="s">
        <v>2617</v>
      </c>
      <c r="U502" s="10" t="s">
        <v>2618</v>
      </c>
      <c r="V502" s="6" t="s">
        <v>59</v>
      </c>
      <c r="W502" s="8">
        <v>885637.08</v>
      </c>
      <c r="X502" s="6" t="s">
        <v>74</v>
      </c>
    </row>
    <row r="503" spans="1:25" s="6" customFormat="1" ht="234.6">
      <c r="A503" s="6" t="s">
        <v>39</v>
      </c>
      <c r="B503" s="6">
        <v>20</v>
      </c>
      <c r="C503" s="7" t="s">
        <v>348</v>
      </c>
      <c r="D503" s="6" t="s">
        <v>3876</v>
      </c>
      <c r="E503" s="6" t="s">
        <v>3878</v>
      </c>
      <c r="F503" s="6" t="s">
        <v>2880</v>
      </c>
      <c r="G503" s="6" t="s">
        <v>55</v>
      </c>
      <c r="H503" s="6" t="s">
        <v>158</v>
      </c>
      <c r="I503" s="7" t="s">
        <v>2207</v>
      </c>
      <c r="J503" s="7" t="s">
        <v>2694</v>
      </c>
      <c r="K503" s="6">
        <v>10</v>
      </c>
      <c r="L503" s="6" t="s">
        <v>2906</v>
      </c>
      <c r="M503" s="8">
        <v>22500</v>
      </c>
      <c r="N503" s="6" t="s">
        <v>3879</v>
      </c>
      <c r="O503" s="24">
        <v>1</v>
      </c>
      <c r="P503" s="8">
        <v>22500</v>
      </c>
      <c r="Q503" s="6" t="s">
        <v>3879</v>
      </c>
      <c r="R503" s="6" t="s">
        <v>3854</v>
      </c>
      <c r="S503" s="6" t="s">
        <v>3866</v>
      </c>
      <c r="T503" s="10" t="s">
        <v>3874</v>
      </c>
      <c r="U503" s="10" t="s">
        <v>3880</v>
      </c>
      <c r="V503" s="6" t="s">
        <v>59</v>
      </c>
      <c r="W503" s="8">
        <v>498643.83</v>
      </c>
      <c r="X503" s="6" t="s">
        <v>74</v>
      </c>
    </row>
    <row r="504" spans="1:25" s="6" customFormat="1" ht="234.6">
      <c r="A504" s="6" t="s">
        <v>39</v>
      </c>
      <c r="B504" s="6">
        <v>20</v>
      </c>
      <c r="C504" s="7" t="s">
        <v>358</v>
      </c>
      <c r="D504" s="6" t="s">
        <v>3877</v>
      </c>
      <c r="E504" s="6" t="s">
        <v>3881</v>
      </c>
      <c r="F504" s="6" t="s">
        <v>2880</v>
      </c>
      <c r="G504" s="6" t="s">
        <v>55</v>
      </c>
      <c r="H504" s="6" t="s">
        <v>158</v>
      </c>
      <c r="I504" s="7" t="s">
        <v>2147</v>
      </c>
      <c r="J504" s="7" t="s">
        <v>2650</v>
      </c>
      <c r="K504" s="6">
        <v>10</v>
      </c>
      <c r="L504" s="6" t="s">
        <v>2906</v>
      </c>
      <c r="M504" s="8">
        <v>33000</v>
      </c>
      <c r="N504" s="6" t="s">
        <v>3882</v>
      </c>
      <c r="O504" s="24">
        <v>1</v>
      </c>
      <c r="P504" s="8">
        <v>33000</v>
      </c>
      <c r="Q504" s="6" t="s">
        <v>3882</v>
      </c>
      <c r="R504" s="6" t="s">
        <v>3854</v>
      </c>
      <c r="S504" s="6" t="s">
        <v>3866</v>
      </c>
      <c r="T504" s="10" t="s">
        <v>3874</v>
      </c>
      <c r="U504" s="10" t="s">
        <v>3883</v>
      </c>
      <c r="V504" s="6" t="s">
        <v>59</v>
      </c>
      <c r="W504" s="8">
        <v>771250.17</v>
      </c>
      <c r="X504" s="6" t="s">
        <v>74</v>
      </c>
    </row>
    <row r="505" spans="1:25" s="6" customFormat="1" ht="276">
      <c r="A505" s="6" t="s">
        <v>39</v>
      </c>
      <c r="B505" s="6">
        <v>20</v>
      </c>
      <c r="C505" s="7" t="s">
        <v>494</v>
      </c>
      <c r="D505" s="6" t="s">
        <v>2619</v>
      </c>
      <c r="E505" s="6" t="s">
        <v>2620</v>
      </c>
      <c r="F505" s="6" t="s">
        <v>1568</v>
      </c>
      <c r="G505" s="6" t="s">
        <v>55</v>
      </c>
      <c r="H505" s="6" t="s">
        <v>158</v>
      </c>
      <c r="I505" s="7" t="s">
        <v>2599</v>
      </c>
      <c r="J505" s="7" t="s">
        <v>2599</v>
      </c>
      <c r="K505" s="6" t="s">
        <v>1812</v>
      </c>
      <c r="L505" s="6" t="s">
        <v>1589</v>
      </c>
      <c r="M505" s="8">
        <v>300</v>
      </c>
      <c r="N505" s="6" t="s">
        <v>2554</v>
      </c>
      <c r="O505" s="24">
        <v>1</v>
      </c>
      <c r="P505" s="8">
        <v>300</v>
      </c>
      <c r="Q505" s="6" t="s">
        <v>2554</v>
      </c>
      <c r="R505" s="6" t="s">
        <v>2621</v>
      </c>
      <c r="S505" s="6" t="s">
        <v>2622</v>
      </c>
      <c r="T505" s="10" t="s">
        <v>2623</v>
      </c>
      <c r="U505" s="10" t="s">
        <v>2624</v>
      </c>
      <c r="V505" s="6" t="s">
        <v>59</v>
      </c>
      <c r="W505" s="8">
        <v>582966.72</v>
      </c>
      <c r="X505" s="6" t="s">
        <v>74</v>
      </c>
    </row>
    <row r="506" spans="1:25" s="6" customFormat="1" ht="345">
      <c r="A506" s="6" t="s">
        <v>39</v>
      </c>
      <c r="B506" s="6">
        <v>20</v>
      </c>
      <c r="C506" s="7" t="s">
        <v>494</v>
      </c>
      <c r="D506" s="6" t="s">
        <v>2619</v>
      </c>
      <c r="E506" s="6" t="s">
        <v>2625</v>
      </c>
      <c r="F506" s="6" t="s">
        <v>1568</v>
      </c>
      <c r="G506" s="6" t="s">
        <v>55</v>
      </c>
      <c r="H506" s="6" t="s">
        <v>158</v>
      </c>
      <c r="I506" s="7" t="s">
        <v>1989</v>
      </c>
      <c r="J506" s="7" t="s">
        <v>2580</v>
      </c>
      <c r="K506" s="6" t="s">
        <v>1199</v>
      </c>
      <c r="L506" s="6" t="s">
        <v>1589</v>
      </c>
      <c r="M506" s="8">
        <v>960</v>
      </c>
      <c r="N506" s="6" t="s">
        <v>2626</v>
      </c>
      <c r="O506" s="24">
        <v>1</v>
      </c>
      <c r="P506" s="8">
        <v>960</v>
      </c>
      <c r="Q506" s="6" t="s">
        <v>2626</v>
      </c>
      <c r="R506" s="6" t="s">
        <v>2621</v>
      </c>
      <c r="S506" s="6" t="s">
        <v>2622</v>
      </c>
      <c r="T506" s="10" t="s">
        <v>2627</v>
      </c>
      <c r="U506" s="10" t="s">
        <v>2628</v>
      </c>
      <c r="V506" s="6" t="s">
        <v>59</v>
      </c>
      <c r="W506" s="8">
        <v>582966.72</v>
      </c>
      <c r="X506" s="6" t="s">
        <v>74</v>
      </c>
    </row>
    <row r="507" spans="1:25" s="6" customFormat="1" ht="409.6">
      <c r="A507" s="6" t="s">
        <v>39</v>
      </c>
      <c r="B507" s="6">
        <v>20</v>
      </c>
      <c r="C507" s="7" t="s">
        <v>505</v>
      </c>
      <c r="D507" s="6" t="s">
        <v>3773</v>
      </c>
      <c r="E507" s="6" t="s">
        <v>3774</v>
      </c>
      <c r="F507" s="6" t="s">
        <v>2880</v>
      </c>
      <c r="G507" s="6" t="s">
        <v>55</v>
      </c>
      <c r="H507" s="6" t="s">
        <v>3775</v>
      </c>
      <c r="I507" s="7" t="s">
        <v>2580</v>
      </c>
      <c r="J507" s="7" t="s">
        <v>2978</v>
      </c>
      <c r="K507" s="6">
        <v>41</v>
      </c>
      <c r="L507" s="6" t="s">
        <v>2998</v>
      </c>
      <c r="M507" s="8">
        <v>1540000</v>
      </c>
      <c r="N507" s="6" t="s">
        <v>3776</v>
      </c>
      <c r="O507" s="24">
        <v>0.35399999999999998</v>
      </c>
      <c r="P507" s="8">
        <v>546034.54</v>
      </c>
      <c r="Q507" s="6" t="s">
        <v>3777</v>
      </c>
      <c r="R507" s="6" t="s">
        <v>1509</v>
      </c>
      <c r="S507" s="6" t="s">
        <v>3778</v>
      </c>
      <c r="T507" s="10" t="s">
        <v>3779</v>
      </c>
      <c r="U507" s="10" t="s">
        <v>3780</v>
      </c>
      <c r="V507" s="6" t="s">
        <v>59</v>
      </c>
      <c r="W507" s="8">
        <v>23394087.539999999</v>
      </c>
      <c r="X507" s="6" t="s">
        <v>74</v>
      </c>
      <c r="Y507" s="6" t="s">
        <v>3781</v>
      </c>
    </row>
    <row r="508" spans="1:25" s="6" customFormat="1" ht="331.2">
      <c r="A508" s="6" t="s">
        <v>39</v>
      </c>
      <c r="B508" s="6">
        <v>20</v>
      </c>
      <c r="C508" s="7" t="s">
        <v>514</v>
      </c>
      <c r="D508" s="6" t="s">
        <v>2629</v>
      </c>
      <c r="E508" s="6" t="s">
        <v>2630</v>
      </c>
      <c r="F508" s="6" t="s">
        <v>1278</v>
      </c>
      <c r="G508" s="6" t="s">
        <v>55</v>
      </c>
      <c r="H508" s="6" t="s">
        <v>158</v>
      </c>
      <c r="I508" s="7" t="s">
        <v>2580</v>
      </c>
      <c r="J508" s="7" t="s">
        <v>2631</v>
      </c>
      <c r="K508" s="6">
        <v>37</v>
      </c>
      <c r="L508" s="6" t="s">
        <v>43</v>
      </c>
      <c r="M508" s="8">
        <v>198000</v>
      </c>
      <c r="N508" s="6" t="s">
        <v>2632</v>
      </c>
      <c r="O508" s="24">
        <v>1</v>
      </c>
      <c r="P508" s="8">
        <v>594000</v>
      </c>
      <c r="Q508" s="6" t="s">
        <v>2633</v>
      </c>
      <c r="R508" s="6" t="s">
        <v>1509</v>
      </c>
      <c r="S508" s="6" t="s">
        <v>2634</v>
      </c>
      <c r="T508" s="10" t="s">
        <v>2635</v>
      </c>
      <c r="U508" s="10" t="s">
        <v>2636</v>
      </c>
      <c r="V508" s="6" t="s">
        <v>59</v>
      </c>
      <c r="W508" s="8">
        <v>594000</v>
      </c>
      <c r="X508" s="6" t="s">
        <v>74</v>
      </c>
      <c r="Y508" s="6" t="s">
        <v>2637</v>
      </c>
    </row>
    <row r="509" spans="1:25" s="6" customFormat="1" ht="409.6">
      <c r="A509" s="6" t="s">
        <v>39</v>
      </c>
      <c r="B509" s="6">
        <v>20</v>
      </c>
      <c r="C509" s="7" t="s">
        <v>522</v>
      </c>
      <c r="D509" s="6" t="s">
        <v>3884</v>
      </c>
      <c r="E509" s="6" t="s">
        <v>4132</v>
      </c>
      <c r="F509" s="6" t="s">
        <v>2880</v>
      </c>
      <c r="G509" s="6" t="s">
        <v>3884</v>
      </c>
      <c r="H509" s="6" t="s">
        <v>3885</v>
      </c>
      <c r="I509" s="7" t="s">
        <v>2580</v>
      </c>
      <c r="J509" s="7" t="s">
        <v>3886</v>
      </c>
      <c r="K509" s="6">
        <v>25</v>
      </c>
      <c r="L509" s="6" t="s">
        <v>289</v>
      </c>
      <c r="M509" s="8">
        <v>194519.52</v>
      </c>
      <c r="N509" s="6" t="s">
        <v>3887</v>
      </c>
      <c r="O509" s="24">
        <v>1</v>
      </c>
      <c r="P509" s="8">
        <v>194519.52</v>
      </c>
      <c r="Q509" s="6" t="s">
        <v>3887</v>
      </c>
      <c r="R509" s="6" t="s">
        <v>302</v>
      </c>
      <c r="S509" s="6" t="s">
        <v>3888</v>
      </c>
      <c r="T509" s="10" t="s">
        <v>3889</v>
      </c>
      <c r="U509" s="10" t="s">
        <v>3890</v>
      </c>
      <c r="V509" s="6" t="s">
        <v>59</v>
      </c>
      <c r="W509" s="31" t="s">
        <v>461</v>
      </c>
      <c r="X509" s="6" t="s">
        <v>74</v>
      </c>
      <c r="Y509" s="6" t="s">
        <v>3891</v>
      </c>
    </row>
    <row r="510" spans="1:25" s="6" customFormat="1" ht="276">
      <c r="A510" s="6" t="s">
        <v>39</v>
      </c>
      <c r="B510" s="6">
        <v>20</v>
      </c>
      <c r="C510" s="7" t="s">
        <v>528</v>
      </c>
      <c r="D510" s="6" t="s">
        <v>2638</v>
      </c>
      <c r="E510" s="6" t="s">
        <v>2639</v>
      </c>
      <c r="F510" s="6" t="s">
        <v>1568</v>
      </c>
      <c r="G510" s="6" t="s">
        <v>55</v>
      </c>
      <c r="H510" s="6" t="s">
        <v>2614</v>
      </c>
      <c r="I510" s="7" t="s">
        <v>2640</v>
      </c>
      <c r="J510" s="7" t="s">
        <v>2641</v>
      </c>
      <c r="K510" s="6">
        <v>1</v>
      </c>
      <c r="L510" s="6" t="s">
        <v>1589</v>
      </c>
      <c r="M510" s="8">
        <v>15596.9</v>
      </c>
      <c r="N510" s="6" t="s">
        <v>2642</v>
      </c>
      <c r="O510" s="24">
        <v>1</v>
      </c>
      <c r="P510" s="8">
        <v>15596.9</v>
      </c>
      <c r="Q510" s="6" t="s">
        <v>2642</v>
      </c>
      <c r="R510" s="6" t="s">
        <v>2301</v>
      </c>
      <c r="S510" s="6" t="s">
        <v>2524</v>
      </c>
      <c r="T510" s="10" t="s">
        <v>2643</v>
      </c>
      <c r="U510" s="10" t="s">
        <v>2644</v>
      </c>
      <c r="V510" s="6" t="s">
        <v>59</v>
      </c>
      <c r="W510" s="8">
        <v>15596.9</v>
      </c>
      <c r="X510" s="6" t="s">
        <v>74</v>
      </c>
    </row>
    <row r="511" spans="1:25" s="6" customFormat="1" ht="276">
      <c r="A511" s="6" t="s">
        <v>39</v>
      </c>
      <c r="B511" s="6">
        <v>21</v>
      </c>
      <c r="C511" s="7" t="s">
        <v>80</v>
      </c>
      <c r="D511" s="6" t="s">
        <v>2645</v>
      </c>
      <c r="E511" s="6" t="s">
        <v>2646</v>
      </c>
      <c r="F511" s="6" t="s">
        <v>1568</v>
      </c>
      <c r="G511" s="6" t="s">
        <v>55</v>
      </c>
      <c r="H511" s="6" t="s">
        <v>158</v>
      </c>
      <c r="I511" s="7" t="s">
        <v>2641</v>
      </c>
      <c r="J511" s="7" t="s">
        <v>2641</v>
      </c>
      <c r="K511" s="6" t="s">
        <v>1171</v>
      </c>
      <c r="L511" s="6" t="s">
        <v>1589</v>
      </c>
      <c r="M511" s="8">
        <v>220</v>
      </c>
      <c r="N511" s="6" t="s">
        <v>2647</v>
      </c>
      <c r="O511" s="24">
        <v>1</v>
      </c>
      <c r="P511" s="8">
        <v>220</v>
      </c>
      <c r="Q511" s="6" t="s">
        <v>2647</v>
      </c>
      <c r="R511" s="6" t="s">
        <v>2621</v>
      </c>
      <c r="S511" s="6" t="s">
        <v>2622</v>
      </c>
      <c r="T511" s="10" t="s">
        <v>2648</v>
      </c>
      <c r="U511" s="10" t="s">
        <v>2649</v>
      </c>
      <c r="V511" s="6" t="s">
        <v>59</v>
      </c>
      <c r="W511" s="8">
        <v>264867.93</v>
      </c>
      <c r="X511" s="6" t="s">
        <v>74</v>
      </c>
    </row>
    <row r="512" spans="1:25" s="6" customFormat="1" ht="345">
      <c r="A512" s="6" t="s">
        <v>39</v>
      </c>
      <c r="B512" s="6">
        <v>21</v>
      </c>
      <c r="C512" s="7" t="s">
        <v>80</v>
      </c>
      <c r="D512" s="6" t="s">
        <v>2645</v>
      </c>
      <c r="E512" s="6" t="s">
        <v>2646</v>
      </c>
      <c r="F512" s="6" t="s">
        <v>1568</v>
      </c>
      <c r="G512" s="6" t="s">
        <v>55</v>
      </c>
      <c r="H512" s="6" t="s">
        <v>158</v>
      </c>
      <c r="I512" s="7" t="s">
        <v>2641</v>
      </c>
      <c r="J512" s="7" t="s">
        <v>2650</v>
      </c>
      <c r="K512" s="6">
        <v>1</v>
      </c>
      <c r="L512" s="6" t="s">
        <v>1589</v>
      </c>
      <c r="M512" s="8">
        <v>920</v>
      </c>
      <c r="N512" s="6" t="s">
        <v>2651</v>
      </c>
      <c r="O512" s="24">
        <v>1</v>
      </c>
      <c r="P512" s="8">
        <v>920</v>
      </c>
      <c r="Q512" s="6" t="s">
        <v>2651</v>
      </c>
      <c r="R512" s="6" t="s">
        <v>2621</v>
      </c>
      <c r="S512" s="6" t="s">
        <v>2622</v>
      </c>
      <c r="T512" s="10" t="s">
        <v>2652</v>
      </c>
      <c r="U512" s="10" t="s">
        <v>2628</v>
      </c>
      <c r="V512" s="6" t="s">
        <v>59</v>
      </c>
      <c r="W512" s="8">
        <v>264867.93</v>
      </c>
      <c r="X512" s="6" t="s">
        <v>74</v>
      </c>
    </row>
    <row r="513" spans="1:25" s="6" customFormat="1" ht="220.8">
      <c r="A513" s="6" t="s">
        <v>39</v>
      </c>
      <c r="B513" s="6">
        <v>21</v>
      </c>
      <c r="C513" s="7" t="s">
        <v>93</v>
      </c>
      <c r="D513" s="6" t="s">
        <v>2653</v>
      </c>
      <c r="E513" s="6" t="s">
        <v>2654</v>
      </c>
      <c r="F513" s="6" t="s">
        <v>40</v>
      </c>
      <c r="G513" s="6" t="s">
        <v>55</v>
      </c>
      <c r="H513" s="6" t="s">
        <v>202</v>
      </c>
      <c r="I513" s="7" t="s">
        <v>2641</v>
      </c>
      <c r="J513" s="7" t="s">
        <v>2641</v>
      </c>
      <c r="K513" s="6">
        <v>3</v>
      </c>
      <c r="L513" s="6" t="s">
        <v>43</v>
      </c>
      <c r="M513" s="8">
        <v>2880</v>
      </c>
      <c r="N513" s="6" t="s">
        <v>2655</v>
      </c>
      <c r="O513" s="24">
        <v>1</v>
      </c>
      <c r="P513" s="8">
        <v>2880</v>
      </c>
      <c r="Q513" s="6" t="s">
        <v>2655</v>
      </c>
      <c r="R513" s="6" t="s">
        <v>2656</v>
      </c>
      <c r="S513" s="6" t="s">
        <v>2657</v>
      </c>
      <c r="T513" s="10" t="s">
        <v>2658</v>
      </c>
      <c r="U513" s="10" t="s">
        <v>2659</v>
      </c>
      <c r="V513" s="6" t="s">
        <v>59</v>
      </c>
      <c r="W513" s="8">
        <v>2880</v>
      </c>
      <c r="X513" s="6" t="s">
        <v>74</v>
      </c>
    </row>
    <row r="514" spans="1:25" s="6" customFormat="1" ht="220.8">
      <c r="A514" s="6" t="s">
        <v>39</v>
      </c>
      <c r="B514" s="6">
        <v>21</v>
      </c>
      <c r="C514" s="7" t="s">
        <v>104</v>
      </c>
      <c r="D514" s="6" t="s">
        <v>2660</v>
      </c>
      <c r="E514" s="6" t="s">
        <v>2661</v>
      </c>
      <c r="F514" s="6" t="s">
        <v>1278</v>
      </c>
      <c r="G514" s="6" t="s">
        <v>55</v>
      </c>
      <c r="H514" s="6" t="s">
        <v>214</v>
      </c>
      <c r="I514" s="7" t="s">
        <v>2641</v>
      </c>
      <c r="J514" s="7" t="s">
        <v>2662</v>
      </c>
      <c r="K514" s="6">
        <v>12</v>
      </c>
      <c r="L514" s="6" t="s">
        <v>43</v>
      </c>
      <c r="M514" s="8">
        <v>83844</v>
      </c>
      <c r="N514" s="6" t="s">
        <v>2663</v>
      </c>
      <c r="O514" s="24">
        <v>1</v>
      </c>
      <c r="P514" s="8">
        <v>83844</v>
      </c>
      <c r="Q514" s="6" t="s">
        <v>2663</v>
      </c>
      <c r="R514" s="6" t="s">
        <v>1522</v>
      </c>
      <c r="S514" s="6" t="s">
        <v>1523</v>
      </c>
      <c r="T514" s="10" t="s">
        <v>2270</v>
      </c>
      <c r="U514" s="10" t="s">
        <v>2271</v>
      </c>
      <c r="V514" s="6" t="s">
        <v>59</v>
      </c>
      <c r="W514" s="8">
        <v>83844</v>
      </c>
      <c r="X514" s="6" t="s">
        <v>74</v>
      </c>
    </row>
    <row r="515" spans="1:25" s="6" customFormat="1" ht="409.6">
      <c r="A515" s="6" t="s">
        <v>39</v>
      </c>
      <c r="B515" s="6">
        <v>21</v>
      </c>
      <c r="C515" s="7" t="s">
        <v>113</v>
      </c>
      <c r="D515" s="6" t="s">
        <v>2664</v>
      </c>
      <c r="E515" s="6" t="s">
        <v>2665</v>
      </c>
      <c r="F515" s="6" t="s">
        <v>40</v>
      </c>
      <c r="G515" s="6" t="s">
        <v>55</v>
      </c>
      <c r="H515" s="6" t="s">
        <v>2666</v>
      </c>
      <c r="I515" s="7" t="s">
        <v>2650</v>
      </c>
      <c r="J515" s="7" t="s">
        <v>2650</v>
      </c>
      <c r="K515" s="6" t="s">
        <v>1199</v>
      </c>
      <c r="L515" s="6" t="s">
        <v>43</v>
      </c>
      <c r="M515" s="8">
        <v>4470</v>
      </c>
      <c r="N515" s="6" t="s">
        <v>2667</v>
      </c>
      <c r="O515" s="24">
        <v>1</v>
      </c>
      <c r="P515" s="8">
        <v>4470</v>
      </c>
      <c r="Q515" s="6" t="s">
        <v>2667</v>
      </c>
      <c r="R515" s="6" t="s">
        <v>2574</v>
      </c>
      <c r="S515" s="6" t="s">
        <v>2668</v>
      </c>
      <c r="T515" s="10" t="s">
        <v>2576</v>
      </c>
      <c r="U515" s="10" t="s">
        <v>2669</v>
      </c>
      <c r="V515" s="6" t="s">
        <v>59</v>
      </c>
      <c r="W515" s="8">
        <v>394543.02</v>
      </c>
      <c r="X515" s="6" t="s">
        <v>74</v>
      </c>
    </row>
    <row r="516" spans="1:25" s="6" customFormat="1" ht="179.4">
      <c r="A516" s="6" t="s">
        <v>39</v>
      </c>
      <c r="B516" s="6">
        <v>21</v>
      </c>
      <c r="C516" s="7" t="s">
        <v>167</v>
      </c>
      <c r="D516" s="6" t="s">
        <v>2670</v>
      </c>
      <c r="E516" s="6" t="s">
        <v>2671</v>
      </c>
      <c r="F516" s="6" t="s">
        <v>1278</v>
      </c>
      <c r="G516" s="6" t="s">
        <v>55</v>
      </c>
      <c r="H516" s="6" t="s">
        <v>2672</v>
      </c>
      <c r="I516" s="7" t="s">
        <v>2650</v>
      </c>
      <c r="J516" s="7" t="s">
        <v>2650</v>
      </c>
      <c r="K516" s="6" t="s">
        <v>1199</v>
      </c>
      <c r="L516" s="6" t="s">
        <v>43</v>
      </c>
      <c r="M516" s="8">
        <v>1464.96</v>
      </c>
      <c r="N516" s="6" t="s">
        <v>2673</v>
      </c>
      <c r="O516" s="24">
        <v>1</v>
      </c>
      <c r="P516" s="8">
        <v>1464.96</v>
      </c>
      <c r="Q516" s="6" t="s">
        <v>2673</v>
      </c>
      <c r="R516" s="6" t="s">
        <v>2674</v>
      </c>
      <c r="S516" s="6" t="s">
        <v>2675</v>
      </c>
      <c r="T516" s="10" t="s">
        <v>2676</v>
      </c>
      <c r="U516" s="10" t="s">
        <v>2677</v>
      </c>
      <c r="V516" s="6" t="s">
        <v>59</v>
      </c>
      <c r="W516" s="8">
        <v>1464.96</v>
      </c>
      <c r="X516" s="6" t="s">
        <v>74</v>
      </c>
    </row>
    <row r="517" spans="1:25" s="6" customFormat="1" ht="179.4">
      <c r="A517" s="6" t="s">
        <v>39</v>
      </c>
      <c r="B517" s="6">
        <v>21</v>
      </c>
      <c r="C517" s="7" t="s">
        <v>176</v>
      </c>
      <c r="D517" s="6" t="s">
        <v>2678</v>
      </c>
      <c r="E517" s="6" t="s">
        <v>2679</v>
      </c>
      <c r="F517" s="6" t="s">
        <v>1568</v>
      </c>
      <c r="G517" s="6" t="s">
        <v>55</v>
      </c>
      <c r="H517" s="6" t="s">
        <v>158</v>
      </c>
      <c r="I517" s="7" t="s">
        <v>2650</v>
      </c>
      <c r="J517" s="7" t="s">
        <v>2680</v>
      </c>
      <c r="K517" s="6">
        <v>1</v>
      </c>
      <c r="L517" s="6" t="s">
        <v>1589</v>
      </c>
      <c r="M517" s="8">
        <v>19359.060000000001</v>
      </c>
      <c r="N517" s="6" t="s">
        <v>2681</v>
      </c>
      <c r="O517" s="24">
        <v>1</v>
      </c>
      <c r="P517" s="8">
        <v>19359.060000000001</v>
      </c>
      <c r="Q517" s="6" t="s">
        <v>2681</v>
      </c>
      <c r="R517" s="6" t="s">
        <v>2682</v>
      </c>
      <c r="S517" s="6" t="s">
        <v>2683</v>
      </c>
      <c r="T517" s="10" t="s">
        <v>2684</v>
      </c>
      <c r="U517" s="10" t="s">
        <v>2685</v>
      </c>
      <c r="V517" s="6" t="s">
        <v>59</v>
      </c>
      <c r="W517" s="8">
        <v>19359.060000000001</v>
      </c>
      <c r="X517" s="6" t="s">
        <v>74</v>
      </c>
    </row>
    <row r="518" spans="1:25" s="6" customFormat="1" ht="317.39999999999998">
      <c r="A518" s="6" t="s">
        <v>39</v>
      </c>
      <c r="B518" s="6">
        <v>21</v>
      </c>
      <c r="C518" s="7" t="s">
        <v>183</v>
      </c>
      <c r="D518" s="6" t="s">
        <v>2686</v>
      </c>
      <c r="E518" s="6" t="s">
        <v>2687</v>
      </c>
      <c r="F518" s="6" t="s">
        <v>1568</v>
      </c>
      <c r="G518" s="6" t="s">
        <v>55</v>
      </c>
      <c r="H518" s="6" t="s">
        <v>202</v>
      </c>
      <c r="I518" s="7" t="s">
        <v>2650</v>
      </c>
      <c r="J518" s="7" t="s">
        <v>2530</v>
      </c>
      <c r="K518" s="6">
        <v>4</v>
      </c>
      <c r="L518" s="6" t="s">
        <v>1589</v>
      </c>
      <c r="M518" s="8">
        <v>14650</v>
      </c>
      <c r="N518" s="6" t="s">
        <v>2690</v>
      </c>
      <c r="O518" s="24">
        <v>1</v>
      </c>
      <c r="P518" s="8">
        <v>14650</v>
      </c>
      <c r="Q518" s="6" t="s">
        <v>2690</v>
      </c>
      <c r="R518" s="6" t="s">
        <v>2301</v>
      </c>
      <c r="S518" s="6" t="s">
        <v>2524</v>
      </c>
      <c r="T518" s="10" t="s">
        <v>2688</v>
      </c>
      <c r="U518" s="10" t="s">
        <v>2689</v>
      </c>
      <c r="V518" s="6" t="s">
        <v>59</v>
      </c>
      <c r="W518" s="8">
        <v>249965.15</v>
      </c>
      <c r="X518" s="6" t="s">
        <v>74</v>
      </c>
    </row>
    <row r="519" spans="1:25" s="6" customFormat="1" ht="409.6">
      <c r="A519" s="6" t="s">
        <v>39</v>
      </c>
      <c r="B519" s="6">
        <v>21</v>
      </c>
      <c r="C519" s="7" t="s">
        <v>114</v>
      </c>
      <c r="D519" s="6" t="s">
        <v>2691</v>
      </c>
      <c r="E519" s="6" t="s">
        <v>2692</v>
      </c>
      <c r="F519" s="6" t="s">
        <v>40</v>
      </c>
      <c r="G519" s="6" t="s">
        <v>55</v>
      </c>
      <c r="H519" s="6" t="s">
        <v>2693</v>
      </c>
      <c r="I519" s="7" t="s">
        <v>2650</v>
      </c>
      <c r="J519" s="7" t="s">
        <v>2694</v>
      </c>
      <c r="K519" s="6">
        <v>2</v>
      </c>
      <c r="L519" s="6" t="s">
        <v>43</v>
      </c>
      <c r="M519" s="8">
        <v>11450</v>
      </c>
      <c r="N519" s="6" t="s">
        <v>2697</v>
      </c>
      <c r="O519" s="24">
        <v>1</v>
      </c>
      <c r="P519" s="8">
        <v>11450</v>
      </c>
      <c r="Q519" s="6" t="s">
        <v>2697</v>
      </c>
      <c r="R519" s="6" t="s">
        <v>2318</v>
      </c>
      <c r="S519" s="6" t="s">
        <v>2319</v>
      </c>
      <c r="T519" s="10" t="s">
        <v>2695</v>
      </c>
      <c r="U519" s="10" t="s">
        <v>2696</v>
      </c>
      <c r="V519" s="6" t="s">
        <v>59</v>
      </c>
      <c r="W519" s="8">
        <v>97391094</v>
      </c>
      <c r="X519" s="6" t="s">
        <v>74</v>
      </c>
    </row>
    <row r="520" spans="1:25" s="6" customFormat="1" ht="193.2">
      <c r="A520" s="6" t="s">
        <v>39</v>
      </c>
      <c r="B520" s="6">
        <v>21</v>
      </c>
      <c r="C520" s="7" t="s">
        <v>125</v>
      </c>
      <c r="D520" s="6" t="s">
        <v>2698</v>
      </c>
      <c r="E520" s="6" t="s">
        <v>2699</v>
      </c>
      <c r="F520" s="6" t="s">
        <v>1568</v>
      </c>
      <c r="G520" s="6" t="s">
        <v>55</v>
      </c>
      <c r="H520" s="6" t="s">
        <v>158</v>
      </c>
      <c r="I520" s="7" t="s">
        <v>2530</v>
      </c>
      <c r="J520" s="7" t="s">
        <v>2530</v>
      </c>
      <c r="K520" s="6" t="s">
        <v>1313</v>
      </c>
      <c r="L520" s="6" t="s">
        <v>1589</v>
      </c>
      <c r="M520" s="8">
        <v>2340</v>
      </c>
      <c r="N520" s="6" t="s">
        <v>2700</v>
      </c>
      <c r="O520" s="24">
        <v>1</v>
      </c>
      <c r="P520" s="8">
        <v>2340</v>
      </c>
      <c r="Q520" s="6" t="s">
        <v>2700</v>
      </c>
      <c r="R520" s="6" t="s">
        <v>2621</v>
      </c>
      <c r="S520" s="6" t="s">
        <v>2701</v>
      </c>
      <c r="T520" s="10" t="s">
        <v>2702</v>
      </c>
      <c r="U520" s="10" t="s">
        <v>2703</v>
      </c>
      <c r="V520" s="6" t="s">
        <v>59</v>
      </c>
      <c r="W520" s="8">
        <v>2340</v>
      </c>
      <c r="X520" s="6" t="s">
        <v>74</v>
      </c>
    </row>
    <row r="521" spans="1:25" s="6" customFormat="1" ht="276">
      <c r="A521" s="6" t="s">
        <v>39</v>
      </c>
      <c r="B521" s="6">
        <v>21</v>
      </c>
      <c r="C521" s="7" t="s">
        <v>134</v>
      </c>
      <c r="D521" s="6" t="s">
        <v>3782</v>
      </c>
      <c r="E521" s="6" t="s">
        <v>3783</v>
      </c>
      <c r="F521" s="6" t="s">
        <v>2880</v>
      </c>
      <c r="G521" s="6" t="s">
        <v>55</v>
      </c>
      <c r="H521" s="6" t="s">
        <v>567</v>
      </c>
      <c r="I521" s="7" t="s">
        <v>2680</v>
      </c>
      <c r="J521" s="7" t="s">
        <v>2530</v>
      </c>
      <c r="K521" s="6">
        <v>2</v>
      </c>
      <c r="L521" s="6" t="s">
        <v>2906</v>
      </c>
      <c r="M521" s="8">
        <v>11925</v>
      </c>
      <c r="N521" s="6" t="s">
        <v>3784</v>
      </c>
      <c r="O521" s="24">
        <v>1</v>
      </c>
      <c r="P521" s="8">
        <v>11925</v>
      </c>
      <c r="Q521" s="6" t="s">
        <v>3784</v>
      </c>
      <c r="R521" s="6" t="s">
        <v>3785</v>
      </c>
      <c r="S521" s="6" t="s">
        <v>3786</v>
      </c>
      <c r="T521" s="10" t="s">
        <v>3787</v>
      </c>
      <c r="U521" s="10" t="s">
        <v>3788</v>
      </c>
      <c r="V521" s="6" t="s">
        <v>59</v>
      </c>
      <c r="W521" s="8">
        <v>1176145.55</v>
      </c>
      <c r="X521" s="6" t="s">
        <v>74</v>
      </c>
    </row>
    <row r="522" spans="1:25" s="6" customFormat="1" ht="409.6">
      <c r="A522" s="6" t="s">
        <v>39</v>
      </c>
      <c r="B522" s="6">
        <v>21</v>
      </c>
      <c r="C522" s="7" t="s">
        <v>191</v>
      </c>
      <c r="D522" s="6" t="s">
        <v>2911</v>
      </c>
      <c r="E522" s="6" t="s">
        <v>2912</v>
      </c>
      <c r="F522" s="6" t="s">
        <v>1278</v>
      </c>
      <c r="G522" s="6" t="s">
        <v>55</v>
      </c>
      <c r="H522" s="6" t="s">
        <v>1685</v>
      </c>
      <c r="I522" s="7" t="s">
        <v>2615</v>
      </c>
      <c r="J522" s="7" t="s">
        <v>2866</v>
      </c>
      <c r="K522" s="6">
        <v>36</v>
      </c>
      <c r="L522" s="6" t="s">
        <v>43</v>
      </c>
      <c r="M522" s="8">
        <v>198891</v>
      </c>
      <c r="N522" s="6" t="s">
        <v>2913</v>
      </c>
      <c r="O522" s="24">
        <v>1</v>
      </c>
      <c r="P522" s="8">
        <v>626457.56999999995</v>
      </c>
      <c r="Q522" s="6" t="s">
        <v>2914</v>
      </c>
      <c r="R522" s="6" t="s">
        <v>1509</v>
      </c>
      <c r="S522" s="6" t="s">
        <v>2105</v>
      </c>
      <c r="T522" s="10" t="s">
        <v>2915</v>
      </c>
      <c r="U522" s="10" t="s">
        <v>2916</v>
      </c>
      <c r="V522" s="6" t="s">
        <v>59</v>
      </c>
      <c r="W522" s="8">
        <v>626457.56999999995</v>
      </c>
      <c r="X522" s="6" t="s">
        <v>1682</v>
      </c>
      <c r="Y522" s="6" t="s">
        <v>2917</v>
      </c>
    </row>
    <row r="523" spans="1:25" s="6" customFormat="1" ht="220.8">
      <c r="A523" s="6" t="s">
        <v>39</v>
      </c>
      <c r="B523" s="6">
        <v>21</v>
      </c>
      <c r="C523" s="7" t="s">
        <v>273</v>
      </c>
      <c r="D523" s="6" t="s">
        <v>2918</v>
      </c>
      <c r="E523" s="6" t="s">
        <v>2919</v>
      </c>
      <c r="F523" s="6" t="s">
        <v>2880</v>
      </c>
      <c r="G523" s="6" t="s">
        <v>55</v>
      </c>
      <c r="H523" s="6" t="s">
        <v>158</v>
      </c>
      <c r="I523" s="7" t="s">
        <v>2103</v>
      </c>
      <c r="J523" s="7" t="s">
        <v>2790</v>
      </c>
      <c r="K523" s="6">
        <v>12</v>
      </c>
      <c r="L523" s="6" t="s">
        <v>2906</v>
      </c>
      <c r="M523" s="8">
        <v>103100</v>
      </c>
      <c r="N523" s="6" t="s">
        <v>2920</v>
      </c>
      <c r="O523" s="24">
        <v>1</v>
      </c>
      <c r="P523" s="8">
        <v>103100</v>
      </c>
      <c r="Q523" s="6" t="s">
        <v>2920</v>
      </c>
      <c r="R523" s="6" t="s">
        <v>2718</v>
      </c>
      <c r="S523" s="6" t="s">
        <v>2719</v>
      </c>
      <c r="T523" s="10" t="s">
        <v>2921</v>
      </c>
      <c r="U523" s="10" t="s">
        <v>2922</v>
      </c>
      <c r="V523" s="6" t="s">
        <v>59</v>
      </c>
      <c r="W523" s="8">
        <v>103100</v>
      </c>
      <c r="X523" s="6" t="s">
        <v>74</v>
      </c>
    </row>
    <row r="524" spans="1:25" s="6" customFormat="1" ht="96.6">
      <c r="A524" s="6" t="s">
        <v>39</v>
      </c>
      <c r="B524" s="6">
        <v>21</v>
      </c>
      <c r="C524" s="7" t="s">
        <v>192</v>
      </c>
      <c r="D524" s="6" t="s">
        <v>2704</v>
      </c>
      <c r="E524" s="6" t="s">
        <v>2705</v>
      </c>
      <c r="F524" s="6" t="s">
        <v>1278</v>
      </c>
      <c r="G524" s="6" t="s">
        <v>55</v>
      </c>
      <c r="H524" s="6" t="s">
        <v>158</v>
      </c>
      <c r="I524" s="7" t="s">
        <v>2530</v>
      </c>
      <c r="J524" s="7" t="s">
        <v>2103</v>
      </c>
      <c r="K524" s="6">
        <v>1</v>
      </c>
      <c r="L524" s="6" t="s">
        <v>43</v>
      </c>
      <c r="M524" s="8">
        <v>345.28</v>
      </c>
      <c r="N524" s="6" t="s">
        <v>2706</v>
      </c>
      <c r="O524" s="24">
        <v>1</v>
      </c>
      <c r="P524" s="8">
        <v>345.28</v>
      </c>
      <c r="Q524" s="6" t="s">
        <v>2706</v>
      </c>
      <c r="R524" s="6" t="s">
        <v>2674</v>
      </c>
      <c r="S524" s="6" t="s">
        <v>2675</v>
      </c>
      <c r="T524" s="10" t="s">
        <v>2707</v>
      </c>
      <c r="U524" s="10" t="s">
        <v>2708</v>
      </c>
      <c r="V524" s="6" t="s">
        <v>59</v>
      </c>
      <c r="W524" s="8">
        <v>345.28</v>
      </c>
      <c r="X524" s="6" t="s">
        <v>74</v>
      </c>
    </row>
    <row r="525" spans="1:25" s="6" customFormat="1" ht="409.6">
      <c r="A525" s="6" t="s">
        <v>39</v>
      </c>
      <c r="B525" s="6">
        <v>21</v>
      </c>
      <c r="C525" s="7" t="s">
        <v>201</v>
      </c>
      <c r="D525" s="6" t="s">
        <v>2923</v>
      </c>
      <c r="E525" s="6" t="s">
        <v>2924</v>
      </c>
      <c r="F525" s="6" t="s">
        <v>2880</v>
      </c>
      <c r="G525" s="6" t="s">
        <v>55</v>
      </c>
      <c r="H525" s="6" t="s">
        <v>1685</v>
      </c>
      <c r="I525" s="7" t="s">
        <v>2615</v>
      </c>
      <c r="J525" s="7" t="s">
        <v>2925</v>
      </c>
      <c r="K525" s="6">
        <v>37</v>
      </c>
      <c r="L525" s="6" t="s">
        <v>2906</v>
      </c>
      <c r="M525" s="8">
        <v>260310</v>
      </c>
      <c r="N525" s="6" t="s">
        <v>2926</v>
      </c>
      <c r="O525" s="24">
        <v>1</v>
      </c>
      <c r="P525" s="8">
        <v>260310</v>
      </c>
      <c r="Q525" s="6" t="s">
        <v>2926</v>
      </c>
      <c r="R525" s="6" t="s">
        <v>1509</v>
      </c>
      <c r="S525" s="6" t="s">
        <v>2927</v>
      </c>
      <c r="T525" s="10" t="s">
        <v>2928</v>
      </c>
      <c r="U525" s="10" t="s">
        <v>2929</v>
      </c>
      <c r="V525" s="6" t="s">
        <v>59</v>
      </c>
      <c r="W525" s="8">
        <v>260310</v>
      </c>
      <c r="X525" s="6" t="s">
        <v>74</v>
      </c>
      <c r="Y525" s="6" t="s">
        <v>2930</v>
      </c>
    </row>
    <row r="526" spans="1:25" s="6" customFormat="1" ht="234.6">
      <c r="A526" s="6" t="s">
        <v>39</v>
      </c>
      <c r="B526" s="6">
        <v>21</v>
      </c>
      <c r="C526" s="7" t="s">
        <v>285</v>
      </c>
      <c r="D526" s="6" t="s">
        <v>3892</v>
      </c>
      <c r="E526" s="6" t="s">
        <v>3893</v>
      </c>
      <c r="F526" s="6" t="s">
        <v>2880</v>
      </c>
      <c r="G526" s="6" t="s">
        <v>55</v>
      </c>
      <c r="H526" s="6" t="s">
        <v>158</v>
      </c>
      <c r="I526" s="7" t="s">
        <v>2147</v>
      </c>
      <c r="J526" s="7" t="s">
        <v>1989</v>
      </c>
      <c r="K526" s="6">
        <v>6</v>
      </c>
      <c r="L526" s="6" t="s">
        <v>2906</v>
      </c>
      <c r="M526" s="8">
        <v>16000</v>
      </c>
      <c r="N526" s="6" t="s">
        <v>3894</v>
      </c>
      <c r="O526" s="24">
        <v>1</v>
      </c>
      <c r="P526" s="8">
        <v>16000</v>
      </c>
      <c r="Q526" s="6" t="s">
        <v>3894</v>
      </c>
      <c r="R526" s="6" t="s">
        <v>3854</v>
      </c>
      <c r="S526" s="6" t="s">
        <v>3866</v>
      </c>
      <c r="T526" s="10" t="s">
        <v>3895</v>
      </c>
      <c r="U526" s="10" t="s">
        <v>3896</v>
      </c>
      <c r="V526" s="6" t="s">
        <v>59</v>
      </c>
      <c r="W526" s="31" t="s">
        <v>461</v>
      </c>
      <c r="X526" s="6" t="s">
        <v>74</v>
      </c>
    </row>
    <row r="527" spans="1:25" s="6" customFormat="1" ht="409.6">
      <c r="A527" s="6" t="s">
        <v>39</v>
      </c>
      <c r="B527" s="6">
        <v>21</v>
      </c>
      <c r="C527" s="7" t="s">
        <v>295</v>
      </c>
      <c r="D527" s="6" t="s">
        <v>2931</v>
      </c>
      <c r="E527" s="6" t="s">
        <v>2932</v>
      </c>
      <c r="F527" s="6" t="s">
        <v>2880</v>
      </c>
      <c r="G527" s="6" t="s">
        <v>55</v>
      </c>
      <c r="H527" s="6" t="s">
        <v>2933</v>
      </c>
      <c r="I527" s="7" t="s">
        <v>2589</v>
      </c>
      <c r="J527" s="7" t="s">
        <v>2861</v>
      </c>
      <c r="K527" s="6">
        <v>27</v>
      </c>
      <c r="L527" s="6" t="s">
        <v>2906</v>
      </c>
      <c r="M527" s="8">
        <v>304300</v>
      </c>
      <c r="N527" s="6" t="s">
        <v>2934</v>
      </c>
      <c r="O527" s="24">
        <v>1</v>
      </c>
      <c r="P527" s="8">
        <v>274373.01</v>
      </c>
      <c r="Q527" s="6" t="s">
        <v>2935</v>
      </c>
      <c r="R527" s="6" t="s">
        <v>2936</v>
      </c>
      <c r="S527" s="6" t="s">
        <v>2937</v>
      </c>
      <c r="T527" s="10" t="s">
        <v>2938</v>
      </c>
      <c r="U527" s="10" t="s">
        <v>2939</v>
      </c>
      <c r="V527" s="6" t="s">
        <v>59</v>
      </c>
      <c r="W527" s="8">
        <v>132889732.45</v>
      </c>
      <c r="X527" s="6" t="s">
        <v>74</v>
      </c>
    </row>
    <row r="528" spans="1:25" s="6" customFormat="1" ht="409.6">
      <c r="A528" s="6" t="s">
        <v>39</v>
      </c>
      <c r="B528" s="6">
        <v>21</v>
      </c>
      <c r="C528" s="7" t="s">
        <v>305</v>
      </c>
      <c r="D528" s="6" t="s">
        <v>2709</v>
      </c>
      <c r="E528" s="6" t="s">
        <v>2710</v>
      </c>
      <c r="F528" s="6" t="s">
        <v>40</v>
      </c>
      <c r="G528" s="6" t="s">
        <v>2479</v>
      </c>
      <c r="H528" s="6" t="s">
        <v>2711</v>
      </c>
      <c r="I528" s="7" t="s">
        <v>2615</v>
      </c>
      <c r="J528" s="7" t="s">
        <v>2615</v>
      </c>
      <c r="K528" s="6">
        <v>1</v>
      </c>
      <c r="L528" s="6" t="s">
        <v>43</v>
      </c>
      <c r="M528" s="8">
        <v>21690</v>
      </c>
      <c r="N528" s="6" t="s">
        <v>2713</v>
      </c>
      <c r="O528" s="24">
        <v>1</v>
      </c>
      <c r="P528" s="8">
        <v>21690</v>
      </c>
      <c r="Q528" s="6" t="s">
        <v>2713</v>
      </c>
      <c r="R528" s="6" t="s">
        <v>761</v>
      </c>
      <c r="S528" s="6" t="s">
        <v>2485</v>
      </c>
      <c r="T528" s="10" t="s">
        <v>2712</v>
      </c>
      <c r="U528" s="10" t="s">
        <v>2714</v>
      </c>
      <c r="V528" s="6" t="s">
        <v>59</v>
      </c>
      <c r="W528" s="8">
        <v>21690</v>
      </c>
      <c r="X528" s="6" t="s">
        <v>58</v>
      </c>
    </row>
    <row r="529" spans="1:25" s="6" customFormat="1" ht="331.2">
      <c r="A529" s="6" t="s">
        <v>39</v>
      </c>
      <c r="B529" s="6">
        <v>21</v>
      </c>
      <c r="C529" s="7" t="s">
        <v>314</v>
      </c>
      <c r="D529" s="6" t="s">
        <v>2715</v>
      </c>
      <c r="E529" s="6" t="s">
        <v>2716</v>
      </c>
      <c r="F529" s="6" t="s">
        <v>1568</v>
      </c>
      <c r="G529" s="6" t="s">
        <v>55</v>
      </c>
      <c r="H529" s="6" t="s">
        <v>158</v>
      </c>
      <c r="I529" s="7" t="s">
        <v>2615</v>
      </c>
      <c r="J529" s="7" t="s">
        <v>2589</v>
      </c>
      <c r="K529" s="6">
        <v>2</v>
      </c>
      <c r="L529" s="6" t="s">
        <v>1589</v>
      </c>
      <c r="M529" s="8">
        <v>7120</v>
      </c>
      <c r="N529" s="6" t="s">
        <v>2717</v>
      </c>
      <c r="O529" s="24">
        <v>1</v>
      </c>
      <c r="P529" s="8">
        <v>7120</v>
      </c>
      <c r="Q529" s="6" t="s">
        <v>2717</v>
      </c>
      <c r="R529" s="6" t="s">
        <v>2718</v>
      </c>
      <c r="S529" s="6" t="s">
        <v>2719</v>
      </c>
      <c r="T529" s="10" t="s">
        <v>2720</v>
      </c>
      <c r="U529" s="10" t="s">
        <v>2721</v>
      </c>
      <c r="V529" s="6" t="s">
        <v>59</v>
      </c>
      <c r="W529" s="8">
        <v>7120</v>
      </c>
      <c r="X529" s="6" t="s">
        <v>74</v>
      </c>
    </row>
    <row r="530" spans="1:25" s="6" customFormat="1" ht="262.2">
      <c r="A530" s="6" t="s">
        <v>39</v>
      </c>
      <c r="B530" s="6">
        <v>21</v>
      </c>
      <c r="C530" s="7" t="s">
        <v>323</v>
      </c>
      <c r="D530" s="6" t="s">
        <v>2722</v>
      </c>
      <c r="E530" s="6" t="s">
        <v>2723</v>
      </c>
      <c r="F530" s="6" t="s">
        <v>1278</v>
      </c>
      <c r="G530" s="6" t="s">
        <v>55</v>
      </c>
      <c r="H530" s="6" t="s">
        <v>158</v>
      </c>
      <c r="I530" s="7" t="s">
        <v>2615</v>
      </c>
      <c r="J530" s="7" t="s">
        <v>2589</v>
      </c>
      <c r="K530" s="6">
        <v>3</v>
      </c>
      <c r="L530" s="6" t="s">
        <v>43</v>
      </c>
      <c r="M530" s="8">
        <v>4462</v>
      </c>
      <c r="N530" s="6" t="s">
        <v>2724</v>
      </c>
      <c r="O530" s="24">
        <v>1</v>
      </c>
      <c r="P530" s="8">
        <v>4462</v>
      </c>
      <c r="Q530" s="6" t="s">
        <v>2724</v>
      </c>
      <c r="R530" s="6" t="s">
        <v>1509</v>
      </c>
      <c r="S530" s="6" t="s">
        <v>2725</v>
      </c>
      <c r="T530" s="10" t="s">
        <v>2726</v>
      </c>
      <c r="U530" s="10" t="s">
        <v>2727</v>
      </c>
      <c r="V530" s="6" t="s">
        <v>59</v>
      </c>
      <c r="W530" s="8">
        <v>4462</v>
      </c>
      <c r="X530" s="6" t="s">
        <v>74</v>
      </c>
    </row>
    <row r="531" spans="1:25" s="6" customFormat="1" ht="248.4">
      <c r="A531" s="6" t="s">
        <v>39</v>
      </c>
      <c r="B531" s="6">
        <v>21</v>
      </c>
      <c r="C531" s="7" t="s">
        <v>330</v>
      </c>
      <c r="D531" s="6" t="s">
        <v>2728</v>
      </c>
      <c r="E531" s="6" t="s">
        <v>2729</v>
      </c>
      <c r="F531" s="6" t="s">
        <v>1568</v>
      </c>
      <c r="G531" s="6" t="s">
        <v>55</v>
      </c>
      <c r="H531" s="6" t="s">
        <v>613</v>
      </c>
      <c r="I531" s="7" t="s">
        <v>2615</v>
      </c>
      <c r="J531" s="7" t="s">
        <v>2733</v>
      </c>
      <c r="K531" s="6">
        <v>1</v>
      </c>
      <c r="L531" s="6" t="s">
        <v>1589</v>
      </c>
      <c r="M531" s="8">
        <v>3125</v>
      </c>
      <c r="N531" s="6" t="s">
        <v>2730</v>
      </c>
      <c r="O531" s="24">
        <v>1</v>
      </c>
      <c r="P531" s="8">
        <v>3125</v>
      </c>
      <c r="Q531" s="6" t="s">
        <v>2730</v>
      </c>
      <c r="R531" s="6" t="s">
        <v>2393</v>
      </c>
      <c r="S531" s="6" t="s">
        <v>2429</v>
      </c>
      <c r="T531" s="10" t="s">
        <v>2731</v>
      </c>
      <c r="U531" s="10" t="s">
        <v>2732</v>
      </c>
      <c r="V531" s="6" t="s">
        <v>59</v>
      </c>
      <c r="W531" s="8">
        <v>226975.77</v>
      </c>
      <c r="X531" s="6" t="s">
        <v>74</v>
      </c>
      <c r="Y531" s="6" t="s">
        <v>2734</v>
      </c>
    </row>
    <row r="532" spans="1:25" s="6" customFormat="1" ht="248.4">
      <c r="A532" s="6" t="s">
        <v>39</v>
      </c>
      <c r="B532" s="6">
        <v>21</v>
      </c>
      <c r="C532" s="7" t="s">
        <v>330</v>
      </c>
      <c r="D532" s="6" t="s">
        <v>2728</v>
      </c>
      <c r="E532" s="6" t="s">
        <v>2729</v>
      </c>
      <c r="F532" s="6" t="s">
        <v>1568</v>
      </c>
      <c r="G532" s="6" t="s">
        <v>55</v>
      </c>
      <c r="H532" s="6" t="s">
        <v>613</v>
      </c>
      <c r="I532" s="7" t="s">
        <v>2733</v>
      </c>
      <c r="J532" s="7" t="s">
        <v>2662</v>
      </c>
      <c r="K532" s="6">
        <v>4</v>
      </c>
      <c r="L532" s="6" t="s">
        <v>1589</v>
      </c>
      <c r="M532" s="8">
        <v>1920</v>
      </c>
      <c r="N532" s="6" t="s">
        <v>2735</v>
      </c>
      <c r="O532" s="24">
        <v>1</v>
      </c>
      <c r="P532" s="8">
        <v>1920</v>
      </c>
      <c r="Q532" s="6" t="s">
        <v>2735</v>
      </c>
      <c r="R532" s="6" t="s">
        <v>2393</v>
      </c>
      <c r="S532" s="6" t="s">
        <v>2429</v>
      </c>
      <c r="T532" s="10" t="s">
        <v>2736</v>
      </c>
      <c r="U532" s="10" t="s">
        <v>2737</v>
      </c>
      <c r="V532" s="6" t="s">
        <v>59</v>
      </c>
      <c r="W532" s="8">
        <v>136605.79999999999</v>
      </c>
      <c r="X532" s="6" t="s">
        <v>74</v>
      </c>
    </row>
    <row r="533" spans="1:25" s="6" customFormat="1" ht="248.4">
      <c r="A533" s="6" t="s">
        <v>39</v>
      </c>
      <c r="B533" s="6">
        <v>21</v>
      </c>
      <c r="C533" s="7" t="s">
        <v>330</v>
      </c>
      <c r="D533" s="6" t="s">
        <v>2728</v>
      </c>
      <c r="E533" s="6" t="s">
        <v>2729</v>
      </c>
      <c r="F533" s="6" t="s">
        <v>1568</v>
      </c>
      <c r="G533" s="6" t="s">
        <v>55</v>
      </c>
      <c r="H533" s="6" t="s">
        <v>613</v>
      </c>
      <c r="I533" s="7" t="s">
        <v>2589</v>
      </c>
      <c r="J533" s="7" t="s">
        <v>2739</v>
      </c>
      <c r="K533" s="6">
        <v>2</v>
      </c>
      <c r="L533" s="6" t="s">
        <v>1589</v>
      </c>
      <c r="M533" s="8">
        <v>2275</v>
      </c>
      <c r="N533" s="6" t="s">
        <v>2738</v>
      </c>
      <c r="O533" s="24">
        <v>1</v>
      </c>
      <c r="P533" s="8">
        <v>2275</v>
      </c>
      <c r="Q533" s="6" t="s">
        <v>2738</v>
      </c>
      <c r="R533" s="6" t="s">
        <v>2393</v>
      </c>
      <c r="S533" s="6" t="s">
        <v>2429</v>
      </c>
      <c r="T533" s="10" t="s">
        <v>2740</v>
      </c>
      <c r="U533" s="10" t="s">
        <v>2741</v>
      </c>
      <c r="V533" s="6" t="s">
        <v>59</v>
      </c>
      <c r="W533" s="8">
        <v>7121.7</v>
      </c>
      <c r="X533" s="6" t="s">
        <v>74</v>
      </c>
    </row>
    <row r="534" spans="1:25" s="6" customFormat="1" ht="276">
      <c r="A534" s="6" t="s">
        <v>39</v>
      </c>
      <c r="B534" s="6">
        <v>21</v>
      </c>
      <c r="C534" s="7" t="s">
        <v>340</v>
      </c>
      <c r="D534" s="6" t="s">
        <v>2742</v>
      </c>
      <c r="E534" s="6" t="s">
        <v>2743</v>
      </c>
      <c r="F534" s="6" t="s">
        <v>1568</v>
      </c>
      <c r="G534" s="6" t="s">
        <v>55</v>
      </c>
      <c r="H534" s="6" t="s">
        <v>158</v>
      </c>
      <c r="I534" s="7" t="s">
        <v>2615</v>
      </c>
      <c r="J534" s="7" t="s">
        <v>2589</v>
      </c>
      <c r="K534" s="6">
        <v>2</v>
      </c>
      <c r="L534" s="6" t="s">
        <v>1589</v>
      </c>
      <c r="M534" s="8">
        <v>1180</v>
      </c>
      <c r="N534" s="6" t="s">
        <v>2744</v>
      </c>
      <c r="O534" s="24">
        <v>1</v>
      </c>
      <c r="P534" s="8">
        <v>1180</v>
      </c>
      <c r="Q534" s="6" t="s">
        <v>2744</v>
      </c>
      <c r="R534" s="6" t="s">
        <v>2621</v>
      </c>
      <c r="S534" s="6" t="s">
        <v>2622</v>
      </c>
      <c r="T534" s="10" t="s">
        <v>2745</v>
      </c>
      <c r="U534" s="10" t="s">
        <v>2703</v>
      </c>
      <c r="V534" s="6" t="s">
        <v>59</v>
      </c>
      <c r="W534" s="8">
        <v>1180</v>
      </c>
      <c r="X534" s="6" t="s">
        <v>74</v>
      </c>
    </row>
    <row r="535" spans="1:25" s="6" customFormat="1" ht="262.2">
      <c r="A535" s="6" t="s">
        <v>39</v>
      </c>
      <c r="B535" s="6">
        <v>21</v>
      </c>
      <c r="C535" s="7" t="s">
        <v>348</v>
      </c>
      <c r="D535" s="6" t="s">
        <v>3897</v>
      </c>
      <c r="E535" s="6" t="s">
        <v>4103</v>
      </c>
      <c r="F535" s="6" t="s">
        <v>2880</v>
      </c>
      <c r="G535" s="6" t="s">
        <v>55</v>
      </c>
      <c r="H535" s="6" t="s">
        <v>1476</v>
      </c>
      <c r="I535" s="7" t="s">
        <v>2733</v>
      </c>
      <c r="J535" s="7" t="s">
        <v>2733</v>
      </c>
      <c r="K535" s="6">
        <v>1</v>
      </c>
      <c r="L535" s="6" t="s">
        <v>2906</v>
      </c>
      <c r="M535" s="8">
        <v>20800</v>
      </c>
      <c r="N535" s="6" t="s">
        <v>4104</v>
      </c>
      <c r="O535" s="24">
        <v>1</v>
      </c>
      <c r="P535" s="8">
        <v>2600</v>
      </c>
      <c r="Q535" s="6" t="s">
        <v>4105</v>
      </c>
      <c r="R535" s="6" t="s">
        <v>4106</v>
      </c>
      <c r="S535" s="6" t="s">
        <v>4107</v>
      </c>
      <c r="T535" s="10" t="s">
        <v>4108</v>
      </c>
      <c r="U535" s="10" t="s">
        <v>4109</v>
      </c>
      <c r="V535" s="6" t="s">
        <v>59</v>
      </c>
      <c r="W535" s="31" t="s">
        <v>461</v>
      </c>
      <c r="X535" s="6" t="s">
        <v>74</v>
      </c>
      <c r="Y535" s="6" t="s">
        <v>4110</v>
      </c>
    </row>
    <row r="536" spans="1:25" s="6" customFormat="1" ht="179.4">
      <c r="A536" s="6" t="s">
        <v>39</v>
      </c>
      <c r="B536" s="6">
        <v>21</v>
      </c>
      <c r="C536" s="7" t="s">
        <v>358</v>
      </c>
      <c r="D536" s="6" t="s">
        <v>2746</v>
      </c>
      <c r="E536" s="6" t="s">
        <v>2747</v>
      </c>
      <c r="F536" s="6" t="s">
        <v>1568</v>
      </c>
      <c r="G536" s="6" t="s">
        <v>55</v>
      </c>
      <c r="H536" s="6" t="s">
        <v>2748</v>
      </c>
      <c r="I536" s="7" t="s">
        <v>2733</v>
      </c>
      <c r="J536" s="7" t="s">
        <v>2733</v>
      </c>
      <c r="K536" s="6" t="s">
        <v>1171</v>
      </c>
      <c r="L536" s="6" t="s">
        <v>1589</v>
      </c>
      <c r="M536" s="8">
        <v>3850</v>
      </c>
      <c r="N536" s="6" t="s">
        <v>2749</v>
      </c>
      <c r="O536" s="24">
        <v>1</v>
      </c>
      <c r="P536" s="8">
        <v>3850</v>
      </c>
      <c r="Q536" s="6" t="s">
        <v>2749</v>
      </c>
      <c r="R536" s="6" t="s">
        <v>2750</v>
      </c>
      <c r="S536" s="6" t="s">
        <v>2751</v>
      </c>
      <c r="T536" s="10" t="s">
        <v>2752</v>
      </c>
      <c r="U536" s="10" t="s">
        <v>2753</v>
      </c>
      <c r="V536" s="6" t="s">
        <v>59</v>
      </c>
      <c r="W536" s="8">
        <v>3850</v>
      </c>
      <c r="X536" s="6" t="s">
        <v>74</v>
      </c>
    </row>
    <row r="537" spans="1:25" s="6" customFormat="1" ht="409.6">
      <c r="A537" s="6" t="s">
        <v>39</v>
      </c>
      <c r="B537" s="6">
        <v>21</v>
      </c>
      <c r="C537" s="7" t="s">
        <v>494</v>
      </c>
      <c r="D537" s="6" t="s">
        <v>2940</v>
      </c>
      <c r="E537" s="6" t="s">
        <v>2941</v>
      </c>
      <c r="F537" s="6" t="s">
        <v>2880</v>
      </c>
      <c r="G537" s="6" t="s">
        <v>47</v>
      </c>
      <c r="H537" s="6" t="s">
        <v>2942</v>
      </c>
      <c r="I537" s="7" t="s">
        <v>2733</v>
      </c>
      <c r="J537" s="7" t="s">
        <v>2943</v>
      </c>
      <c r="K537" s="6">
        <v>68</v>
      </c>
      <c r="L537" s="6" t="s">
        <v>2998</v>
      </c>
      <c r="M537" s="8">
        <v>12510123.529999999</v>
      </c>
      <c r="N537" s="6" t="s">
        <v>2944</v>
      </c>
      <c r="O537" s="24">
        <v>1</v>
      </c>
      <c r="P537" s="8">
        <v>943550.77</v>
      </c>
      <c r="Q537" s="6" t="s">
        <v>2945</v>
      </c>
      <c r="R537" s="6" t="s">
        <v>2946</v>
      </c>
      <c r="S537" s="6" t="s">
        <v>2947</v>
      </c>
      <c r="T537" s="10" t="s">
        <v>2948</v>
      </c>
      <c r="U537" s="10" t="s">
        <v>2949</v>
      </c>
      <c r="V537" s="6" t="s">
        <v>59</v>
      </c>
      <c r="W537" s="8">
        <v>324143219.22000003</v>
      </c>
      <c r="X537" s="6" t="s">
        <v>74</v>
      </c>
    </row>
    <row r="538" spans="1:25" s="6" customFormat="1" ht="276">
      <c r="A538" s="6" t="s">
        <v>39</v>
      </c>
      <c r="B538" s="6">
        <v>21</v>
      </c>
      <c r="C538" s="7" t="s">
        <v>505</v>
      </c>
      <c r="D538" s="6" t="s">
        <v>2754</v>
      </c>
      <c r="E538" s="6" t="s">
        <v>2755</v>
      </c>
      <c r="F538" s="6" t="s">
        <v>1278</v>
      </c>
      <c r="G538" s="6" t="s">
        <v>55</v>
      </c>
      <c r="H538" s="6" t="s">
        <v>2756</v>
      </c>
      <c r="I538" s="7" t="s">
        <v>2757</v>
      </c>
      <c r="J538" s="7" t="s">
        <v>2758</v>
      </c>
      <c r="K538" s="6">
        <v>4</v>
      </c>
      <c r="L538" s="6" t="s">
        <v>43</v>
      </c>
      <c r="M538" s="8">
        <v>39000</v>
      </c>
      <c r="N538" s="6" t="s">
        <v>2759</v>
      </c>
      <c r="O538" s="24">
        <v>1</v>
      </c>
      <c r="P538" s="8">
        <v>39000</v>
      </c>
      <c r="Q538" s="6" t="s">
        <v>2759</v>
      </c>
      <c r="R538" s="6" t="s">
        <v>2760</v>
      </c>
      <c r="S538" s="6" t="s">
        <v>2761</v>
      </c>
      <c r="T538" s="10" t="s">
        <v>2762</v>
      </c>
      <c r="U538" s="10" t="s">
        <v>2763</v>
      </c>
      <c r="V538" s="6" t="s">
        <v>59</v>
      </c>
      <c r="W538" s="8">
        <v>120000</v>
      </c>
      <c r="X538" s="6" t="s">
        <v>74</v>
      </c>
    </row>
    <row r="539" spans="1:25" s="6" customFormat="1" ht="262.2">
      <c r="A539" s="6" t="s">
        <v>39</v>
      </c>
      <c r="B539" s="6">
        <v>21</v>
      </c>
      <c r="C539" s="7" t="s">
        <v>514</v>
      </c>
      <c r="D539" s="6" t="s">
        <v>3789</v>
      </c>
      <c r="E539" s="6" t="s">
        <v>3790</v>
      </c>
      <c r="F539" s="6" t="s">
        <v>2880</v>
      </c>
      <c r="G539" s="6" t="s">
        <v>55</v>
      </c>
      <c r="H539" s="6" t="s">
        <v>768</v>
      </c>
      <c r="I539" s="7" t="s">
        <v>2757</v>
      </c>
      <c r="J539" s="7" t="s">
        <v>2815</v>
      </c>
      <c r="K539" s="6">
        <v>12</v>
      </c>
      <c r="L539" s="6" t="s">
        <v>2906</v>
      </c>
      <c r="M539" s="8">
        <v>52486.400000000001</v>
      </c>
      <c r="N539" s="6" t="s">
        <v>3791</v>
      </c>
      <c r="O539" s="24">
        <v>1</v>
      </c>
      <c r="P539" s="8">
        <v>52486.400000000001</v>
      </c>
      <c r="Q539" s="6" t="s">
        <v>3791</v>
      </c>
      <c r="R539" s="6" t="s">
        <v>2253</v>
      </c>
      <c r="S539" s="6" t="s">
        <v>3792</v>
      </c>
      <c r="T539" s="10" t="s">
        <v>3793</v>
      </c>
      <c r="U539" s="10" t="s">
        <v>3794</v>
      </c>
      <c r="V539" s="8" t="s">
        <v>59</v>
      </c>
      <c r="W539" s="8">
        <v>52486.400000000001</v>
      </c>
      <c r="X539" s="6" t="s">
        <v>74</v>
      </c>
      <c r="Y539" s="6" t="s">
        <v>3795</v>
      </c>
    </row>
    <row r="540" spans="1:25" s="6" customFormat="1" ht="234.6">
      <c r="A540" s="6" t="s">
        <v>39</v>
      </c>
      <c r="B540" s="6">
        <v>21</v>
      </c>
      <c r="C540" s="7" t="s">
        <v>522</v>
      </c>
      <c r="D540" s="6" t="s">
        <v>2764</v>
      </c>
      <c r="E540" s="6" t="s">
        <v>2765</v>
      </c>
      <c r="F540" s="6" t="s">
        <v>1278</v>
      </c>
      <c r="G540" s="6" t="s">
        <v>55</v>
      </c>
      <c r="H540" s="6" t="s">
        <v>158</v>
      </c>
      <c r="I540" s="7" t="s">
        <v>2739</v>
      </c>
      <c r="J540" s="7" t="s">
        <v>2766</v>
      </c>
      <c r="K540" s="6">
        <v>4</v>
      </c>
      <c r="L540" s="6" t="s">
        <v>43</v>
      </c>
      <c r="M540" s="8">
        <v>223000</v>
      </c>
      <c r="N540" s="6" t="s">
        <v>2767</v>
      </c>
      <c r="O540" s="24">
        <v>1</v>
      </c>
      <c r="P540" s="8">
        <v>223000</v>
      </c>
      <c r="Q540" s="6" t="s">
        <v>2767</v>
      </c>
      <c r="R540" s="6" t="s">
        <v>302</v>
      </c>
      <c r="S540" s="6" t="s">
        <v>2768</v>
      </c>
      <c r="T540" s="10" t="s">
        <v>2769</v>
      </c>
      <c r="U540" s="10" t="s">
        <v>2770</v>
      </c>
      <c r="V540" s="6" t="s">
        <v>59</v>
      </c>
      <c r="W540" s="8">
        <v>317467042.25</v>
      </c>
      <c r="X540" s="6" t="s">
        <v>74</v>
      </c>
    </row>
    <row r="541" spans="1:25" s="6" customFormat="1" ht="345">
      <c r="A541" s="6" t="s">
        <v>39</v>
      </c>
      <c r="B541" s="6">
        <v>21</v>
      </c>
      <c r="C541" s="7" t="s">
        <v>528</v>
      </c>
      <c r="D541" s="6" t="s">
        <v>2950</v>
      </c>
      <c r="E541" s="6" t="s">
        <v>2951</v>
      </c>
      <c r="F541" s="6" t="s">
        <v>1278</v>
      </c>
      <c r="G541" s="6" t="s">
        <v>55</v>
      </c>
      <c r="H541" s="6" t="s">
        <v>158</v>
      </c>
      <c r="I541" s="7" t="s">
        <v>2739</v>
      </c>
      <c r="J541" s="7" t="s">
        <v>2952</v>
      </c>
      <c r="K541" s="6">
        <v>38</v>
      </c>
      <c r="L541" s="6" t="s">
        <v>43</v>
      </c>
      <c r="M541" s="8">
        <v>110123.93</v>
      </c>
      <c r="N541" s="6" t="s">
        <v>2953</v>
      </c>
      <c r="O541" s="24">
        <v>1</v>
      </c>
      <c r="P541" s="8">
        <v>110123.93</v>
      </c>
      <c r="Q541" s="6" t="s">
        <v>2953</v>
      </c>
      <c r="R541" s="6" t="s">
        <v>1509</v>
      </c>
      <c r="S541" s="6" t="s">
        <v>2211</v>
      </c>
      <c r="T541" s="10" t="s">
        <v>2954</v>
      </c>
      <c r="U541" s="10" t="s">
        <v>2955</v>
      </c>
      <c r="V541" s="6" t="s">
        <v>59</v>
      </c>
      <c r="W541" s="8">
        <v>110123.93</v>
      </c>
      <c r="X541" s="6" t="s">
        <v>74</v>
      </c>
      <c r="Y541" s="6" t="s">
        <v>2956</v>
      </c>
    </row>
    <row r="542" spans="1:25" s="6" customFormat="1" ht="303.60000000000002">
      <c r="A542" s="6" t="s">
        <v>39</v>
      </c>
      <c r="B542" s="6">
        <v>21</v>
      </c>
      <c r="C542" s="7" t="s">
        <v>536</v>
      </c>
      <c r="D542" s="6" t="s">
        <v>2771</v>
      </c>
      <c r="E542" s="6" t="s">
        <v>2772</v>
      </c>
      <c r="F542" s="6" t="s">
        <v>1568</v>
      </c>
      <c r="G542" s="6" t="s">
        <v>55</v>
      </c>
      <c r="H542" s="6" t="s">
        <v>158</v>
      </c>
      <c r="I542" s="7" t="s">
        <v>2739</v>
      </c>
      <c r="J542" s="7" t="s">
        <v>2739</v>
      </c>
      <c r="K542" s="6" t="s">
        <v>1171</v>
      </c>
      <c r="L542" s="6" t="s">
        <v>1589</v>
      </c>
      <c r="M542" s="8">
        <v>1560</v>
      </c>
      <c r="N542" s="6" t="s">
        <v>2773</v>
      </c>
      <c r="O542" s="24">
        <v>1</v>
      </c>
      <c r="P542" s="8">
        <v>1560</v>
      </c>
      <c r="Q542" s="6" t="s">
        <v>2773</v>
      </c>
      <c r="R542" s="6" t="s">
        <v>2621</v>
      </c>
      <c r="S542" s="6" t="s">
        <v>2774</v>
      </c>
      <c r="T542" s="10" t="s">
        <v>2775</v>
      </c>
      <c r="U542" s="10" t="s">
        <v>2781</v>
      </c>
      <c r="V542" s="6" t="s">
        <v>59</v>
      </c>
      <c r="W542" s="8">
        <v>1560</v>
      </c>
      <c r="X542" s="6" t="s">
        <v>74</v>
      </c>
    </row>
    <row r="543" spans="1:25" s="6" customFormat="1" ht="409.6">
      <c r="A543" s="6" t="s">
        <v>39</v>
      </c>
      <c r="B543" s="6">
        <v>21</v>
      </c>
      <c r="C543" s="7" t="s">
        <v>544</v>
      </c>
      <c r="D543" s="6" t="s">
        <v>2957</v>
      </c>
      <c r="E543" s="6" t="s">
        <v>2958</v>
      </c>
      <c r="F543" s="6" t="s">
        <v>40</v>
      </c>
      <c r="G543" s="6" t="s">
        <v>1059</v>
      </c>
      <c r="H543" s="6" t="s">
        <v>2959</v>
      </c>
      <c r="I543" s="7" t="s">
        <v>2790</v>
      </c>
      <c r="J543" s="7" t="s">
        <v>2960</v>
      </c>
      <c r="K543" s="6">
        <v>17</v>
      </c>
      <c r="L543" s="6" t="s">
        <v>43</v>
      </c>
      <c r="M543" s="8">
        <v>186532.5</v>
      </c>
      <c r="N543" s="6" t="s">
        <v>2961</v>
      </c>
      <c r="O543" s="24">
        <v>1</v>
      </c>
      <c r="P543" s="8">
        <v>144912.5</v>
      </c>
      <c r="Q543" s="6" t="s">
        <v>2963</v>
      </c>
      <c r="R543" s="6" t="s">
        <v>2962</v>
      </c>
      <c r="S543" s="6" t="s">
        <v>2964</v>
      </c>
      <c r="T543" s="10" t="s">
        <v>2965</v>
      </c>
      <c r="U543" s="10" t="s">
        <v>2966</v>
      </c>
      <c r="V543" s="6" t="s">
        <v>59</v>
      </c>
      <c r="W543" s="8">
        <v>186532.5</v>
      </c>
      <c r="X543" s="6" t="s">
        <v>74</v>
      </c>
    </row>
    <row r="544" spans="1:25" s="6" customFormat="1" ht="220.8">
      <c r="A544" s="6" t="s">
        <v>39</v>
      </c>
      <c r="B544" s="6">
        <v>21</v>
      </c>
      <c r="C544" s="7" t="s">
        <v>842</v>
      </c>
      <c r="D544" s="6" t="s">
        <v>2776</v>
      </c>
      <c r="E544" s="6" t="s">
        <v>2777</v>
      </c>
      <c r="F544" s="6" t="s">
        <v>1568</v>
      </c>
      <c r="G544" s="6" t="s">
        <v>55</v>
      </c>
      <c r="H544" s="6" t="s">
        <v>158</v>
      </c>
      <c r="I544" s="7" t="s">
        <v>2739</v>
      </c>
      <c r="J544" s="7" t="s">
        <v>2662</v>
      </c>
      <c r="K544" s="6">
        <v>1</v>
      </c>
      <c r="L544" s="6" t="s">
        <v>1589</v>
      </c>
      <c r="M544" s="8">
        <v>1150</v>
      </c>
      <c r="N544" s="6" t="s">
        <v>2778</v>
      </c>
      <c r="O544" s="24">
        <v>1</v>
      </c>
      <c r="P544" s="8">
        <v>1150</v>
      </c>
      <c r="Q544" s="6" t="s">
        <v>2778</v>
      </c>
      <c r="R544" s="6" t="s">
        <v>2621</v>
      </c>
      <c r="S544" s="6" t="s">
        <v>2779</v>
      </c>
      <c r="T544" s="10" t="s">
        <v>2780</v>
      </c>
      <c r="U544" s="10" t="s">
        <v>2782</v>
      </c>
      <c r="V544" s="6" t="s">
        <v>59</v>
      </c>
      <c r="W544" s="8">
        <v>1150</v>
      </c>
      <c r="X544" s="6" t="s">
        <v>74</v>
      </c>
    </row>
    <row r="545" spans="1:25" s="6" customFormat="1" ht="276">
      <c r="A545" s="6" t="s">
        <v>39</v>
      </c>
      <c r="B545" s="6">
        <v>21</v>
      </c>
      <c r="C545" s="7" t="s">
        <v>1283</v>
      </c>
      <c r="D545" s="6" t="s">
        <v>2783</v>
      </c>
      <c r="E545" s="6" t="s">
        <v>2785</v>
      </c>
      <c r="F545" s="6" t="s">
        <v>1568</v>
      </c>
      <c r="G545" s="6" t="s">
        <v>55</v>
      </c>
      <c r="H545" s="6" t="s">
        <v>158</v>
      </c>
      <c r="I545" s="7" t="s">
        <v>2739</v>
      </c>
      <c r="J545" s="7" t="s">
        <v>2662</v>
      </c>
      <c r="K545" s="6" t="s">
        <v>1199</v>
      </c>
      <c r="L545" s="6" t="s">
        <v>1589</v>
      </c>
      <c r="M545" s="8">
        <v>460</v>
      </c>
      <c r="N545" s="6" t="s">
        <v>2784</v>
      </c>
      <c r="O545" s="24">
        <v>1</v>
      </c>
      <c r="P545" s="8">
        <v>460</v>
      </c>
      <c r="Q545" s="6" t="s">
        <v>2784</v>
      </c>
      <c r="R545" s="6" t="s">
        <v>2621</v>
      </c>
      <c r="S545" s="6" t="s">
        <v>2774</v>
      </c>
      <c r="T545" s="10" t="s">
        <v>2786</v>
      </c>
      <c r="U545" s="10" t="s">
        <v>2787</v>
      </c>
      <c r="V545" s="6" t="s">
        <v>59</v>
      </c>
      <c r="W545" s="8">
        <v>460</v>
      </c>
      <c r="X545" s="6" t="s">
        <v>74</v>
      </c>
    </row>
    <row r="546" spans="1:25" s="6" customFormat="1" ht="372.6">
      <c r="A546" s="6" t="s">
        <v>39</v>
      </c>
      <c r="B546" s="6">
        <v>21</v>
      </c>
      <c r="C546" s="7" t="s">
        <v>555</v>
      </c>
      <c r="D546" s="6" t="s">
        <v>2789</v>
      </c>
      <c r="E546" s="6" t="s">
        <v>2788</v>
      </c>
      <c r="F546" s="6" t="s">
        <v>1278</v>
      </c>
      <c r="G546" s="6" t="s">
        <v>55</v>
      </c>
      <c r="H546" s="6" t="s">
        <v>158</v>
      </c>
      <c r="I546" s="7" t="s">
        <v>2758</v>
      </c>
      <c r="J546" s="7" t="s">
        <v>2790</v>
      </c>
      <c r="K546" s="6">
        <v>5</v>
      </c>
      <c r="L546" s="6" t="s">
        <v>43</v>
      </c>
      <c r="M546" s="8">
        <v>12700</v>
      </c>
      <c r="N546" s="6" t="s">
        <v>2791</v>
      </c>
      <c r="O546" s="24">
        <v>1</v>
      </c>
      <c r="P546" s="8">
        <v>12700</v>
      </c>
      <c r="Q546" s="6" t="s">
        <v>2791</v>
      </c>
      <c r="R546" s="6" t="s">
        <v>1509</v>
      </c>
      <c r="S546" s="6" t="s">
        <v>2792</v>
      </c>
      <c r="T546" s="10" t="s">
        <v>2793</v>
      </c>
      <c r="U546" s="10" t="s">
        <v>2794</v>
      </c>
      <c r="V546" s="6" t="s">
        <v>59</v>
      </c>
      <c r="W546" s="8">
        <v>12700</v>
      </c>
      <c r="X546" s="6" t="s">
        <v>74</v>
      </c>
    </row>
    <row r="547" spans="1:25" s="6" customFormat="1" ht="303.60000000000002">
      <c r="A547" s="6" t="s">
        <v>39</v>
      </c>
      <c r="B547" s="6">
        <v>22</v>
      </c>
      <c r="C547" s="7" t="s">
        <v>80</v>
      </c>
      <c r="D547" s="6" t="s">
        <v>2795</v>
      </c>
      <c r="E547" s="6" t="s">
        <v>2796</v>
      </c>
      <c r="F547" s="6" t="s">
        <v>1568</v>
      </c>
      <c r="G547" s="6" t="s">
        <v>55</v>
      </c>
      <c r="H547" s="6" t="s">
        <v>158</v>
      </c>
      <c r="I547" s="7" t="s">
        <v>2758</v>
      </c>
      <c r="J547" s="7" t="s">
        <v>2758</v>
      </c>
      <c r="K547" s="6" t="s">
        <v>1199</v>
      </c>
      <c r="L547" s="6" t="s">
        <v>1589</v>
      </c>
      <c r="M547" s="8">
        <v>720</v>
      </c>
      <c r="N547" s="6" t="s">
        <v>2800</v>
      </c>
      <c r="O547" s="24">
        <v>1</v>
      </c>
      <c r="P547" s="8">
        <v>720</v>
      </c>
      <c r="Q547" s="6" t="s">
        <v>2800</v>
      </c>
      <c r="R547" s="6" t="s">
        <v>2621</v>
      </c>
      <c r="S547" s="6" t="s">
        <v>2797</v>
      </c>
      <c r="T547" s="10" t="s">
        <v>2798</v>
      </c>
      <c r="U547" s="10" t="s">
        <v>2799</v>
      </c>
      <c r="V547" s="6" t="s">
        <v>59</v>
      </c>
      <c r="W547" s="8">
        <v>720</v>
      </c>
      <c r="X547" s="6" t="s">
        <v>74</v>
      </c>
    </row>
    <row r="548" spans="1:25" s="6" customFormat="1" ht="409.6">
      <c r="A548" s="6" t="s">
        <v>39</v>
      </c>
      <c r="B548" s="6">
        <v>22</v>
      </c>
      <c r="C548" s="7" t="s">
        <v>93</v>
      </c>
      <c r="D548" s="6" t="s">
        <v>2967</v>
      </c>
      <c r="E548" s="6" t="s">
        <v>2971</v>
      </c>
      <c r="F548" s="6" t="s">
        <v>2880</v>
      </c>
      <c r="G548" s="6" t="s">
        <v>55</v>
      </c>
      <c r="H548" s="6" t="s">
        <v>158</v>
      </c>
      <c r="I548" s="7" t="s">
        <v>2758</v>
      </c>
      <c r="J548" s="7" t="s">
        <v>2968</v>
      </c>
      <c r="K548" s="6">
        <v>49</v>
      </c>
      <c r="L548" s="6" t="s">
        <v>2906</v>
      </c>
      <c r="M548" s="8">
        <v>1501680.23</v>
      </c>
      <c r="N548" s="6" t="s">
        <v>2969</v>
      </c>
      <c r="O548" s="24">
        <v>1</v>
      </c>
      <c r="P548" s="8">
        <v>1501680.23</v>
      </c>
      <c r="Q548" s="6" t="s">
        <v>2969</v>
      </c>
      <c r="R548" s="6" t="s">
        <v>2970</v>
      </c>
      <c r="S548" s="6" t="s">
        <v>2972</v>
      </c>
      <c r="T548" s="10" t="s">
        <v>2973</v>
      </c>
      <c r="U548" s="10" t="s">
        <v>2974</v>
      </c>
      <c r="V548" s="6" t="s">
        <v>59</v>
      </c>
      <c r="W548" s="8" t="s">
        <v>2975</v>
      </c>
      <c r="X548" s="6" t="s">
        <v>58</v>
      </c>
    </row>
    <row r="549" spans="1:25" s="6" customFormat="1" ht="234.6">
      <c r="A549" s="6" t="s">
        <v>39</v>
      </c>
      <c r="B549" s="6">
        <v>22</v>
      </c>
      <c r="C549" s="7" t="s">
        <v>104</v>
      </c>
      <c r="D549" s="6" t="s">
        <v>2976</v>
      </c>
      <c r="E549" s="6" t="s">
        <v>2977</v>
      </c>
      <c r="F549" s="6" t="s">
        <v>40</v>
      </c>
      <c r="G549" s="6" t="s">
        <v>55</v>
      </c>
      <c r="H549" s="6" t="s">
        <v>49</v>
      </c>
      <c r="I549" s="7" t="s">
        <v>2766</v>
      </c>
      <c r="J549" s="7" t="s">
        <v>2978</v>
      </c>
      <c r="K549" s="6">
        <v>24</v>
      </c>
      <c r="L549" s="6" t="s">
        <v>43</v>
      </c>
      <c r="M549" s="8">
        <v>532000</v>
      </c>
      <c r="N549" s="6" t="s">
        <v>2979</v>
      </c>
      <c r="O549" s="24">
        <v>1</v>
      </c>
      <c r="P549" s="55">
        <v>1064000</v>
      </c>
      <c r="Q549" s="56" t="s">
        <v>2983</v>
      </c>
      <c r="R549" s="6" t="s">
        <v>86</v>
      </c>
      <c r="S549" s="6" t="s">
        <v>2980</v>
      </c>
      <c r="T549" s="10" t="s">
        <v>2981</v>
      </c>
      <c r="U549" s="10" t="s">
        <v>2982</v>
      </c>
      <c r="V549" s="6" t="s">
        <v>59</v>
      </c>
      <c r="W549" s="8">
        <v>532000</v>
      </c>
      <c r="X549" s="6" t="s">
        <v>74</v>
      </c>
      <c r="Y549" s="6" t="s">
        <v>4129</v>
      </c>
    </row>
    <row r="550" spans="1:25" s="6" customFormat="1" ht="409.6">
      <c r="A550" s="6" t="s">
        <v>39</v>
      </c>
      <c r="B550" s="6">
        <v>22</v>
      </c>
      <c r="C550" s="7" t="s">
        <v>113</v>
      </c>
      <c r="D550" s="6" t="s">
        <v>2984</v>
      </c>
      <c r="E550" s="6" t="s">
        <v>2985</v>
      </c>
      <c r="F550" s="6" t="s">
        <v>1278</v>
      </c>
      <c r="G550" s="6" t="s">
        <v>55</v>
      </c>
      <c r="H550" s="6" t="s">
        <v>158</v>
      </c>
      <c r="I550" s="7" t="s">
        <v>2986</v>
      </c>
      <c r="J550" s="7" t="s">
        <v>2992</v>
      </c>
      <c r="K550" s="6">
        <v>24</v>
      </c>
      <c r="L550" s="6" t="s">
        <v>43</v>
      </c>
      <c r="M550" s="8">
        <v>98900.71</v>
      </c>
      <c r="N550" s="6" t="s">
        <v>2987</v>
      </c>
      <c r="O550" s="24">
        <v>1</v>
      </c>
      <c r="P550" s="8">
        <v>98900.71</v>
      </c>
      <c r="Q550" s="6" t="s">
        <v>2987</v>
      </c>
      <c r="R550" s="6" t="s">
        <v>1509</v>
      </c>
      <c r="S550" s="6" t="s">
        <v>2988</v>
      </c>
      <c r="T550" s="10" t="s">
        <v>2989</v>
      </c>
      <c r="U550" s="10" t="s">
        <v>2990</v>
      </c>
      <c r="V550" s="6" t="s">
        <v>59</v>
      </c>
      <c r="W550" s="8">
        <v>98900.71</v>
      </c>
      <c r="X550" s="8" t="s">
        <v>74</v>
      </c>
      <c r="Y550" s="8" t="s">
        <v>2991</v>
      </c>
    </row>
    <row r="551" spans="1:25" s="6" customFormat="1" ht="234.6">
      <c r="A551" s="6" t="s">
        <v>39</v>
      </c>
      <c r="B551" s="6">
        <v>22</v>
      </c>
      <c r="C551" s="7" t="s">
        <v>167</v>
      </c>
      <c r="D551" s="6" t="s">
        <v>2801</v>
      </c>
      <c r="E551" s="6" t="s">
        <v>2802</v>
      </c>
      <c r="F551" s="6" t="s">
        <v>40</v>
      </c>
      <c r="G551" s="6" t="s">
        <v>438</v>
      </c>
      <c r="H551" s="6" t="s">
        <v>2803</v>
      </c>
      <c r="I551" s="7" t="s">
        <v>2208</v>
      </c>
      <c r="J551" s="7" t="s">
        <v>2208</v>
      </c>
      <c r="K551" s="6">
        <v>1</v>
      </c>
      <c r="L551" s="6" t="s">
        <v>43</v>
      </c>
      <c r="M551" s="8">
        <v>4916.87</v>
      </c>
      <c r="N551" s="6" t="s">
        <v>2804</v>
      </c>
      <c r="O551" s="24">
        <v>1</v>
      </c>
      <c r="P551" s="8">
        <v>4916.87</v>
      </c>
      <c r="Q551" s="6" t="s">
        <v>2804</v>
      </c>
      <c r="R551" s="6" t="s">
        <v>196</v>
      </c>
      <c r="S551" s="6" t="s">
        <v>2805</v>
      </c>
      <c r="T551" s="10" t="s">
        <v>2806</v>
      </c>
      <c r="U551" s="10" t="s">
        <v>2807</v>
      </c>
      <c r="V551" s="6" t="s">
        <v>59</v>
      </c>
      <c r="W551" s="8">
        <v>4916.87</v>
      </c>
      <c r="X551" s="6" t="s">
        <v>74</v>
      </c>
    </row>
    <row r="552" spans="1:25" s="6" customFormat="1" ht="303.60000000000002">
      <c r="A552" s="6" t="s">
        <v>39</v>
      </c>
      <c r="B552" s="6">
        <v>22</v>
      </c>
      <c r="C552" s="7" t="s">
        <v>176</v>
      </c>
      <c r="D552" s="6" t="s">
        <v>2808</v>
      </c>
      <c r="E552" s="6" t="s">
        <v>2809</v>
      </c>
      <c r="F552" s="6" t="s">
        <v>1568</v>
      </c>
      <c r="G552" s="6" t="s">
        <v>55</v>
      </c>
      <c r="H552" s="6" t="s">
        <v>158</v>
      </c>
      <c r="I552" s="7" t="s">
        <v>2208</v>
      </c>
      <c r="J552" s="7" t="s">
        <v>2208</v>
      </c>
      <c r="K552" s="6" t="s">
        <v>1199</v>
      </c>
      <c r="L552" s="6" t="s">
        <v>1589</v>
      </c>
      <c r="M552" s="8">
        <v>660</v>
      </c>
      <c r="N552" s="6" t="s">
        <v>2810</v>
      </c>
      <c r="O552" s="24">
        <v>1</v>
      </c>
      <c r="P552" s="8">
        <v>660</v>
      </c>
      <c r="Q552" s="6" t="s">
        <v>2810</v>
      </c>
      <c r="R552" s="6" t="s">
        <v>2393</v>
      </c>
      <c r="S552" s="6" t="s">
        <v>2811</v>
      </c>
      <c r="T552" s="10" t="s">
        <v>2395</v>
      </c>
      <c r="U552" s="10" t="s">
        <v>2812</v>
      </c>
      <c r="V552" s="6" t="s">
        <v>59</v>
      </c>
      <c r="W552" s="8">
        <v>20000</v>
      </c>
      <c r="X552" s="6" t="s">
        <v>74</v>
      </c>
    </row>
    <row r="553" spans="1:25" s="6" customFormat="1" ht="409.6">
      <c r="A553" s="6" t="s">
        <v>39</v>
      </c>
      <c r="B553" s="6">
        <v>22</v>
      </c>
      <c r="C553" s="7" t="s">
        <v>183</v>
      </c>
      <c r="D553" s="6" t="s">
        <v>2993</v>
      </c>
      <c r="E553" s="6" t="s">
        <v>2994</v>
      </c>
      <c r="F553" s="6" t="s">
        <v>2995</v>
      </c>
      <c r="G553" s="6" t="s">
        <v>55</v>
      </c>
      <c r="H553" s="6" t="s">
        <v>2996</v>
      </c>
      <c r="I553" s="7" t="s">
        <v>2986</v>
      </c>
      <c r="J553" s="7" t="s">
        <v>2997</v>
      </c>
      <c r="K553" s="6">
        <v>48</v>
      </c>
      <c r="L553" s="6" t="s">
        <v>2998</v>
      </c>
      <c r="M553" s="8">
        <v>25014434.190000001</v>
      </c>
      <c r="N553" s="6" t="s">
        <v>2999</v>
      </c>
      <c r="O553" s="24">
        <v>0.25</v>
      </c>
      <c r="P553" s="8">
        <v>6253608.5499999998</v>
      </c>
      <c r="Q553" s="6" t="s">
        <v>3000</v>
      </c>
      <c r="R553" s="24" t="s">
        <v>1509</v>
      </c>
      <c r="S553" s="6" t="s">
        <v>3001</v>
      </c>
      <c r="T553" s="10" t="s">
        <v>3002</v>
      </c>
      <c r="U553" s="10" t="s">
        <v>3003</v>
      </c>
      <c r="V553" s="6" t="s">
        <v>59</v>
      </c>
      <c r="W553" s="35" t="s">
        <v>461</v>
      </c>
      <c r="X553" s="6" t="s">
        <v>74</v>
      </c>
      <c r="Y553" s="6" t="s">
        <v>3004</v>
      </c>
    </row>
    <row r="554" spans="1:25" s="6" customFormat="1" ht="409.6">
      <c r="A554" s="6" t="s">
        <v>39</v>
      </c>
      <c r="B554" s="6">
        <v>22</v>
      </c>
      <c r="C554" s="7" t="s">
        <v>114</v>
      </c>
      <c r="D554" s="6" t="s">
        <v>3005</v>
      </c>
      <c r="E554" s="6" t="s">
        <v>3006</v>
      </c>
      <c r="F554" s="6" t="s">
        <v>1278</v>
      </c>
      <c r="G554" s="6" t="s">
        <v>55</v>
      </c>
      <c r="H554" s="6" t="s">
        <v>1528</v>
      </c>
      <c r="I554" s="7" t="s">
        <v>2986</v>
      </c>
      <c r="J554" s="7" t="s">
        <v>2453</v>
      </c>
      <c r="K554" s="6">
        <v>12</v>
      </c>
      <c r="L554" s="6" t="s">
        <v>43</v>
      </c>
      <c r="M554" s="8">
        <v>43977.86</v>
      </c>
      <c r="N554" s="6" t="s">
        <v>3007</v>
      </c>
      <c r="O554" s="24">
        <v>1</v>
      </c>
      <c r="P554" s="8">
        <v>43977.86</v>
      </c>
      <c r="Q554" s="6" t="s">
        <v>3007</v>
      </c>
      <c r="R554" s="6" t="s">
        <v>1509</v>
      </c>
      <c r="S554" s="6" t="s">
        <v>3008</v>
      </c>
      <c r="T554" s="10" t="s">
        <v>3009</v>
      </c>
      <c r="U554" s="10" t="s">
        <v>3010</v>
      </c>
      <c r="V554" s="6" t="s">
        <v>59</v>
      </c>
      <c r="W554" s="8">
        <v>43977.86</v>
      </c>
      <c r="X554" s="8" t="s">
        <v>74</v>
      </c>
      <c r="Y554" s="8" t="s">
        <v>3011</v>
      </c>
    </row>
    <row r="555" spans="1:25" s="6" customFormat="1" ht="372.6">
      <c r="A555" s="6" t="s">
        <v>39</v>
      </c>
      <c r="B555" s="6">
        <v>22</v>
      </c>
      <c r="C555" s="7" t="s">
        <v>125</v>
      </c>
      <c r="D555" s="6" t="s">
        <v>3012</v>
      </c>
      <c r="E555" s="6" t="s">
        <v>3013</v>
      </c>
      <c r="F555" s="6" t="s">
        <v>40</v>
      </c>
      <c r="G555" s="6" t="s">
        <v>55</v>
      </c>
      <c r="H555" s="6" t="s">
        <v>158</v>
      </c>
      <c r="I555" s="7" t="s">
        <v>2208</v>
      </c>
      <c r="J555" s="7" t="s">
        <v>2822</v>
      </c>
      <c r="K555" s="6">
        <v>4</v>
      </c>
      <c r="L555" s="6" t="s">
        <v>43</v>
      </c>
      <c r="M555" s="8">
        <v>37950</v>
      </c>
      <c r="N555" s="6" t="s">
        <v>3014</v>
      </c>
      <c r="O555" s="24">
        <v>1</v>
      </c>
      <c r="P555" s="8">
        <v>37950</v>
      </c>
      <c r="Q555" s="6" t="s">
        <v>3014</v>
      </c>
      <c r="R555" s="6" t="s">
        <v>3017</v>
      </c>
      <c r="S555" s="6" t="s">
        <v>3015</v>
      </c>
      <c r="T555" s="10" t="s">
        <v>3018</v>
      </c>
      <c r="U555" s="10" t="s">
        <v>3016</v>
      </c>
      <c r="V555" s="6" t="s">
        <v>59</v>
      </c>
      <c r="W555" s="8">
        <v>431256</v>
      </c>
      <c r="X555" s="6" t="s">
        <v>58</v>
      </c>
    </row>
    <row r="556" spans="1:25" s="6" customFormat="1" ht="409.6">
      <c r="A556" s="6" t="s">
        <v>39</v>
      </c>
      <c r="B556" s="6">
        <v>22</v>
      </c>
      <c r="C556" s="7" t="s">
        <v>134</v>
      </c>
      <c r="D556" s="6" t="s">
        <v>3796</v>
      </c>
      <c r="E556" s="6" t="s">
        <v>3797</v>
      </c>
      <c r="F556" s="6" t="s">
        <v>2880</v>
      </c>
      <c r="G556" s="6" t="s">
        <v>55</v>
      </c>
      <c r="H556" s="6" t="s">
        <v>325</v>
      </c>
      <c r="I556" s="7" t="s">
        <v>2829</v>
      </c>
      <c r="J556" s="7" t="s">
        <v>2925</v>
      </c>
      <c r="K556" s="6">
        <v>20</v>
      </c>
      <c r="L556" s="6" t="s">
        <v>2998</v>
      </c>
      <c r="M556" s="8">
        <v>732270</v>
      </c>
      <c r="N556" s="6" t="s">
        <v>3798</v>
      </c>
      <c r="O556" s="24">
        <v>0.5</v>
      </c>
      <c r="P556" s="55">
        <v>38258.25</v>
      </c>
      <c r="Q556" s="56" t="s">
        <v>4111</v>
      </c>
      <c r="R556" s="24" t="s">
        <v>3684</v>
      </c>
      <c r="S556" s="6" t="s">
        <v>3799</v>
      </c>
      <c r="T556" s="10" t="s">
        <v>3800</v>
      </c>
      <c r="U556" s="10" t="s">
        <v>3801</v>
      </c>
      <c r="V556" s="6" t="s">
        <v>59</v>
      </c>
      <c r="W556" s="39">
        <v>65221826.630000003</v>
      </c>
      <c r="X556" s="6" t="s">
        <v>74</v>
      </c>
      <c r="Y556" s="6" t="s">
        <v>3802</v>
      </c>
    </row>
    <row r="557" spans="1:25" s="6" customFormat="1" ht="372.6">
      <c r="A557" s="6" t="s">
        <v>39</v>
      </c>
      <c r="B557" s="26">
        <v>22</v>
      </c>
      <c r="C557" s="27" t="s">
        <v>191</v>
      </c>
      <c r="D557" s="6" t="s">
        <v>3019</v>
      </c>
      <c r="E557" s="6" t="s">
        <v>3020</v>
      </c>
      <c r="F557" s="6" t="s">
        <v>2879</v>
      </c>
      <c r="G557" s="6" t="s">
        <v>47</v>
      </c>
      <c r="H557" s="6" t="s">
        <v>3021</v>
      </c>
      <c r="I557" s="7" t="s">
        <v>3022</v>
      </c>
      <c r="J557" s="7" t="s">
        <v>3023</v>
      </c>
      <c r="K557" s="6">
        <v>46</v>
      </c>
      <c r="L557" s="6" t="s">
        <v>289</v>
      </c>
      <c r="M557" s="8">
        <v>991819.2</v>
      </c>
      <c r="N557" s="6" t="s">
        <v>3025</v>
      </c>
      <c r="O557" s="48" t="s">
        <v>461</v>
      </c>
      <c r="P557" s="45" t="s">
        <v>461</v>
      </c>
      <c r="Q557" s="48" t="s">
        <v>461</v>
      </c>
      <c r="R557" s="6" t="s">
        <v>3024</v>
      </c>
      <c r="S557" s="6" t="s">
        <v>3026</v>
      </c>
      <c r="T557" s="10" t="s">
        <v>3027</v>
      </c>
      <c r="U557" s="10" t="s">
        <v>3028</v>
      </c>
      <c r="V557" s="6" t="s">
        <v>59</v>
      </c>
      <c r="W557" s="8">
        <v>991819.2</v>
      </c>
      <c r="X557" s="6" t="s">
        <v>74</v>
      </c>
    </row>
    <row r="558" spans="1:25" s="6" customFormat="1" ht="289.8">
      <c r="A558" s="6" t="s">
        <v>39</v>
      </c>
      <c r="B558" s="6">
        <v>22</v>
      </c>
      <c r="C558" s="7" t="s">
        <v>273</v>
      </c>
      <c r="D558" s="6" t="s">
        <v>2813</v>
      </c>
      <c r="E558" s="6" t="s">
        <v>2814</v>
      </c>
      <c r="F558" s="6" t="s">
        <v>1568</v>
      </c>
      <c r="G558" s="6" t="s">
        <v>55</v>
      </c>
      <c r="H558" s="6" t="s">
        <v>158</v>
      </c>
      <c r="I558" s="7" t="s">
        <v>2815</v>
      </c>
      <c r="J558" s="7" t="s">
        <v>2815</v>
      </c>
      <c r="K558" s="6" t="s">
        <v>1171</v>
      </c>
      <c r="L558" s="6" t="s">
        <v>1589</v>
      </c>
      <c r="M558" s="8">
        <v>650</v>
      </c>
      <c r="N558" s="6" t="s">
        <v>2816</v>
      </c>
      <c r="O558" s="24">
        <v>1</v>
      </c>
      <c r="P558" s="8">
        <v>650</v>
      </c>
      <c r="Q558" s="6" t="s">
        <v>2816</v>
      </c>
      <c r="R558" s="6" t="s">
        <v>2393</v>
      </c>
      <c r="S558" s="6" t="s">
        <v>2817</v>
      </c>
      <c r="T558" s="10" t="s">
        <v>2818</v>
      </c>
      <c r="U558" s="10" t="s">
        <v>2819</v>
      </c>
      <c r="V558" s="6" t="s">
        <v>59</v>
      </c>
      <c r="W558" s="8">
        <v>650</v>
      </c>
      <c r="X558" s="6" t="s">
        <v>74</v>
      </c>
    </row>
    <row r="559" spans="1:25" s="6" customFormat="1" ht="289.8">
      <c r="A559" s="6" t="s">
        <v>39</v>
      </c>
      <c r="B559" s="6">
        <v>22</v>
      </c>
      <c r="C559" s="7" t="s">
        <v>192</v>
      </c>
      <c r="D559" s="6" t="s">
        <v>2820</v>
      </c>
      <c r="E559" s="6" t="s">
        <v>2821</v>
      </c>
      <c r="F559" s="6" t="s">
        <v>40</v>
      </c>
      <c r="G559" s="6" t="s">
        <v>55</v>
      </c>
      <c r="H559" s="6" t="s">
        <v>158</v>
      </c>
      <c r="I559" s="7" t="s">
        <v>2822</v>
      </c>
      <c r="J559" s="7" t="s">
        <v>2822</v>
      </c>
      <c r="K559" s="6" t="s">
        <v>1199</v>
      </c>
      <c r="L559" s="6" t="s">
        <v>43</v>
      </c>
      <c r="M559" s="8">
        <v>6335</v>
      </c>
      <c r="N559" s="6" t="s">
        <v>2823</v>
      </c>
      <c r="O559" s="24">
        <v>1</v>
      </c>
      <c r="P559" s="8">
        <v>6335</v>
      </c>
      <c r="Q559" s="6" t="s">
        <v>2823</v>
      </c>
      <c r="R559" s="6" t="s">
        <v>291</v>
      </c>
      <c r="S559" s="6" t="s">
        <v>2824</v>
      </c>
      <c r="T559" s="10" t="s">
        <v>2825</v>
      </c>
      <c r="U559" s="10" t="s">
        <v>2826</v>
      </c>
      <c r="V559" s="6" t="s">
        <v>59</v>
      </c>
      <c r="W559" s="8">
        <v>7301398.0599999996</v>
      </c>
      <c r="X559" s="6" t="s">
        <v>58</v>
      </c>
    </row>
    <row r="560" spans="1:25" s="6" customFormat="1" ht="234.6">
      <c r="A560" s="6" t="s">
        <v>39</v>
      </c>
      <c r="B560" s="6">
        <v>22</v>
      </c>
      <c r="C560" s="7" t="s">
        <v>201</v>
      </c>
      <c r="D560" s="6" t="s">
        <v>3029</v>
      </c>
      <c r="E560" s="6" t="s">
        <v>3030</v>
      </c>
      <c r="F560" s="6" t="s">
        <v>40</v>
      </c>
      <c r="G560" s="6" t="s">
        <v>55</v>
      </c>
      <c r="H560" s="6" t="s">
        <v>158</v>
      </c>
      <c r="I560" s="7" t="s">
        <v>2822</v>
      </c>
      <c r="J560" s="7" t="s">
        <v>2822</v>
      </c>
      <c r="K560" s="6" t="s">
        <v>1313</v>
      </c>
      <c r="L560" s="6" t="s">
        <v>43</v>
      </c>
      <c r="M560" s="8">
        <v>7800</v>
      </c>
      <c r="N560" s="6" t="s">
        <v>3031</v>
      </c>
      <c r="O560" s="24">
        <v>1</v>
      </c>
      <c r="P560" s="8">
        <v>7800</v>
      </c>
      <c r="Q560" s="6" t="s">
        <v>3031</v>
      </c>
      <c r="R560" s="6" t="s">
        <v>3032</v>
      </c>
      <c r="S560" s="6" t="s">
        <v>3033</v>
      </c>
      <c r="T560" s="10" t="s">
        <v>3034</v>
      </c>
      <c r="U560" s="10" t="s">
        <v>3035</v>
      </c>
      <c r="V560" s="6">
        <v>21.8</v>
      </c>
      <c r="W560" s="8">
        <v>184134348</v>
      </c>
      <c r="X560" s="6" t="s">
        <v>74</v>
      </c>
      <c r="Y560" s="6" t="s">
        <v>3036</v>
      </c>
    </row>
    <row r="561" spans="1:25" s="6" customFormat="1" ht="262.2">
      <c r="A561" s="6" t="s">
        <v>39</v>
      </c>
      <c r="B561" s="6">
        <v>22</v>
      </c>
      <c r="C561" s="7" t="s">
        <v>285</v>
      </c>
      <c r="D561" s="6" t="s">
        <v>2827</v>
      </c>
      <c r="E561" s="6" t="s">
        <v>2828</v>
      </c>
      <c r="F561" s="6" t="s">
        <v>1278</v>
      </c>
      <c r="G561" s="6" t="s">
        <v>55</v>
      </c>
      <c r="H561" s="6" t="s">
        <v>158</v>
      </c>
      <c r="I561" s="7" t="s">
        <v>2822</v>
      </c>
      <c r="J561" s="7" t="s">
        <v>2829</v>
      </c>
      <c r="K561" s="6">
        <v>3</v>
      </c>
      <c r="L561" s="6" t="s">
        <v>43</v>
      </c>
      <c r="M561" s="8">
        <v>4987.5</v>
      </c>
      <c r="N561" s="6" t="s">
        <v>2830</v>
      </c>
      <c r="O561" s="24">
        <v>1</v>
      </c>
      <c r="P561" s="8">
        <v>4987.5</v>
      </c>
      <c r="Q561" s="6" t="s">
        <v>2830</v>
      </c>
      <c r="R561" s="6" t="s">
        <v>1509</v>
      </c>
      <c r="S561" s="6" t="s">
        <v>2725</v>
      </c>
      <c r="T561" s="10" t="s">
        <v>2726</v>
      </c>
      <c r="U561" s="10" t="s">
        <v>2727</v>
      </c>
      <c r="V561" s="6" t="s">
        <v>59</v>
      </c>
      <c r="W561" s="8">
        <v>4987.5</v>
      </c>
      <c r="X561" s="6" t="s">
        <v>74</v>
      </c>
    </row>
    <row r="562" spans="1:25" s="6" customFormat="1" ht="303.60000000000002">
      <c r="A562" s="6" t="s">
        <v>39</v>
      </c>
      <c r="B562" s="6">
        <v>22</v>
      </c>
      <c r="C562" s="7" t="s">
        <v>295</v>
      </c>
      <c r="D562" s="6" t="s">
        <v>2832</v>
      </c>
      <c r="E562" s="6" t="s">
        <v>2833</v>
      </c>
      <c r="F562" s="6" t="s">
        <v>1278</v>
      </c>
      <c r="G562" s="6" t="s">
        <v>55</v>
      </c>
      <c r="H562" s="6" t="s">
        <v>158</v>
      </c>
      <c r="I562" s="7" t="s">
        <v>2758</v>
      </c>
      <c r="J562" s="7" t="s">
        <v>2834</v>
      </c>
      <c r="K562" s="6">
        <v>4</v>
      </c>
      <c r="L562" s="6" t="s">
        <v>43</v>
      </c>
      <c r="M562" s="8">
        <v>1551.93</v>
      </c>
      <c r="N562" s="6" t="s">
        <v>2835</v>
      </c>
      <c r="O562" s="24">
        <v>1</v>
      </c>
      <c r="P562" s="8">
        <v>1551.93</v>
      </c>
      <c r="Q562" s="6" t="s">
        <v>2835</v>
      </c>
      <c r="R562" s="6" t="s">
        <v>2836</v>
      </c>
      <c r="S562" s="6" t="s">
        <v>2837</v>
      </c>
      <c r="T562" s="10" t="s">
        <v>2838</v>
      </c>
      <c r="U562" s="10" t="s">
        <v>2839</v>
      </c>
      <c r="V562" s="6" t="s">
        <v>59</v>
      </c>
      <c r="W562" s="8">
        <v>1551.93</v>
      </c>
      <c r="X562" s="6" t="s">
        <v>74</v>
      </c>
    </row>
    <row r="563" spans="1:25" s="6" customFormat="1" ht="138">
      <c r="A563" s="6" t="s">
        <v>39</v>
      </c>
      <c r="B563" s="6">
        <v>23</v>
      </c>
      <c r="C563" s="7" t="s">
        <v>80</v>
      </c>
      <c r="D563" s="6" t="s">
        <v>3037</v>
      </c>
      <c r="E563" s="6" t="s">
        <v>3038</v>
      </c>
      <c r="F563" s="6" t="s">
        <v>40</v>
      </c>
      <c r="G563" s="6" t="s">
        <v>55</v>
      </c>
      <c r="H563" s="6" t="s">
        <v>49</v>
      </c>
      <c r="I563" s="7" t="s">
        <v>3022</v>
      </c>
      <c r="J563" s="7" t="s">
        <v>3039</v>
      </c>
      <c r="K563" s="6">
        <v>19</v>
      </c>
      <c r="L563" s="6" t="s">
        <v>43</v>
      </c>
      <c r="M563" s="8">
        <v>60000</v>
      </c>
      <c r="N563" s="6" t="s">
        <v>3040</v>
      </c>
      <c r="O563" s="24">
        <v>1</v>
      </c>
      <c r="P563" s="8">
        <v>60000</v>
      </c>
      <c r="Q563" s="6" t="s">
        <v>3040</v>
      </c>
      <c r="R563" s="6" t="s">
        <v>3041</v>
      </c>
      <c r="S563" s="6" t="s">
        <v>3042</v>
      </c>
      <c r="T563" s="10" t="s">
        <v>3043</v>
      </c>
      <c r="U563" s="10" t="s">
        <v>3044</v>
      </c>
      <c r="V563" s="6" t="s">
        <v>59</v>
      </c>
      <c r="W563" s="8">
        <v>60000</v>
      </c>
      <c r="X563" s="6" t="s">
        <v>74</v>
      </c>
    </row>
    <row r="564" spans="1:25" s="6" customFormat="1" ht="262.2">
      <c r="A564" s="6" t="s">
        <v>39</v>
      </c>
      <c r="B564" s="6">
        <v>23</v>
      </c>
      <c r="C564" s="7" t="s">
        <v>93</v>
      </c>
      <c r="D564" s="6" t="s">
        <v>3045</v>
      </c>
      <c r="E564" s="6" t="s">
        <v>3046</v>
      </c>
      <c r="F564" s="6" t="s">
        <v>2880</v>
      </c>
      <c r="G564" s="6" t="s">
        <v>55</v>
      </c>
      <c r="H564" s="6" t="s">
        <v>158</v>
      </c>
      <c r="I564" s="7" t="s">
        <v>3047</v>
      </c>
      <c r="J564" s="7" t="s">
        <v>2866</v>
      </c>
      <c r="K564" s="6">
        <v>15</v>
      </c>
      <c r="L564" s="6" t="s">
        <v>2998</v>
      </c>
      <c r="M564" s="8">
        <v>598000</v>
      </c>
      <c r="N564" s="6" t="s">
        <v>3048</v>
      </c>
      <c r="O564" s="24">
        <v>1</v>
      </c>
      <c r="P564" s="8">
        <v>299000</v>
      </c>
      <c r="Q564" s="6" t="s">
        <v>3049</v>
      </c>
      <c r="R564" s="6" t="s">
        <v>1509</v>
      </c>
      <c r="S564" s="6" t="s">
        <v>3050</v>
      </c>
      <c r="T564" s="10" t="s">
        <v>3051</v>
      </c>
      <c r="U564" s="10" t="s">
        <v>3052</v>
      </c>
      <c r="V564" s="6" t="s">
        <v>59</v>
      </c>
      <c r="W564" s="8">
        <v>598000</v>
      </c>
      <c r="X564" s="6" t="s">
        <v>3053</v>
      </c>
      <c r="Y564" s="6" t="s">
        <v>3072</v>
      </c>
    </row>
    <row r="565" spans="1:25" s="6" customFormat="1" ht="409.6">
      <c r="A565" s="6" t="s">
        <v>39</v>
      </c>
      <c r="B565" s="6">
        <v>23</v>
      </c>
      <c r="C565" s="7" t="s">
        <v>104</v>
      </c>
      <c r="D565" s="6" t="s">
        <v>3054</v>
      </c>
      <c r="E565" s="6" t="s">
        <v>3055</v>
      </c>
      <c r="F565" s="6" t="s">
        <v>2880</v>
      </c>
      <c r="G565" s="6" t="s">
        <v>55</v>
      </c>
      <c r="H565" s="6" t="s">
        <v>158</v>
      </c>
      <c r="I565" s="7" t="s">
        <v>3047</v>
      </c>
      <c r="J565" s="7" t="s">
        <v>3056</v>
      </c>
      <c r="K565" s="6">
        <v>51</v>
      </c>
      <c r="L565" s="6" t="s">
        <v>2998</v>
      </c>
      <c r="M565" s="8">
        <v>1462321.22</v>
      </c>
      <c r="N565" s="6" t="s">
        <v>3057</v>
      </c>
      <c r="O565" s="24">
        <v>1</v>
      </c>
      <c r="P565" s="8">
        <v>362813.49</v>
      </c>
      <c r="Q565" s="6" t="s">
        <v>3058</v>
      </c>
      <c r="R565" s="6" t="s">
        <v>1509</v>
      </c>
      <c r="S565" s="6" t="s">
        <v>3059</v>
      </c>
      <c r="T565" s="10" t="s">
        <v>3060</v>
      </c>
      <c r="U565" s="10" t="s">
        <v>3061</v>
      </c>
      <c r="V565" s="6" t="s">
        <v>59</v>
      </c>
      <c r="W565" s="8">
        <v>700000000</v>
      </c>
      <c r="X565" s="6" t="s">
        <v>74</v>
      </c>
      <c r="Y565" s="6" t="s">
        <v>3062</v>
      </c>
    </row>
    <row r="566" spans="1:25" s="6" customFormat="1" ht="409.6">
      <c r="A566" s="6" t="s">
        <v>39</v>
      </c>
      <c r="B566" s="6">
        <v>23</v>
      </c>
      <c r="C566" s="7" t="s">
        <v>167</v>
      </c>
      <c r="D566" s="6" t="s">
        <v>3063</v>
      </c>
      <c r="E566" s="6" t="s">
        <v>3064</v>
      </c>
      <c r="F566" s="6" t="s">
        <v>2880</v>
      </c>
      <c r="G566" s="6" t="s">
        <v>55</v>
      </c>
      <c r="H566" s="6" t="s">
        <v>49</v>
      </c>
      <c r="I566" s="7" t="s">
        <v>2843</v>
      </c>
      <c r="J566" s="7" t="s">
        <v>3065</v>
      </c>
      <c r="K566" s="6">
        <v>60</v>
      </c>
      <c r="L566" s="6" t="s">
        <v>2998</v>
      </c>
      <c r="M566" s="8">
        <v>1753200</v>
      </c>
      <c r="N566" s="6" t="s">
        <v>3066</v>
      </c>
      <c r="O566" s="24">
        <v>1</v>
      </c>
      <c r="P566" s="8">
        <v>1753200</v>
      </c>
      <c r="Q566" s="6" t="s">
        <v>3066</v>
      </c>
      <c r="R566" s="6" t="s">
        <v>1509</v>
      </c>
      <c r="S566" s="6" t="s">
        <v>3067</v>
      </c>
      <c r="T566" s="10" t="s">
        <v>3068</v>
      </c>
      <c r="U566" s="10" t="s">
        <v>3069</v>
      </c>
      <c r="V566" s="6" t="s">
        <v>59</v>
      </c>
      <c r="W566" s="6" t="s">
        <v>3070</v>
      </c>
      <c r="X566" s="6" t="s">
        <v>74</v>
      </c>
      <c r="Y566" s="6" t="s">
        <v>3071</v>
      </c>
    </row>
    <row r="567" spans="1:25" s="6" customFormat="1" ht="303.60000000000002">
      <c r="A567" s="6" t="s">
        <v>39</v>
      </c>
      <c r="B567" s="6">
        <v>23</v>
      </c>
      <c r="C567" s="7" t="s">
        <v>176</v>
      </c>
      <c r="D567" s="6" t="s">
        <v>3073</v>
      </c>
      <c r="E567" s="6" t="s">
        <v>3074</v>
      </c>
      <c r="F567" s="6" t="s">
        <v>1568</v>
      </c>
      <c r="G567" s="6" t="s">
        <v>55</v>
      </c>
      <c r="H567" s="6" t="s">
        <v>158</v>
      </c>
      <c r="I567" s="7" t="s">
        <v>3047</v>
      </c>
      <c r="J567" s="7" t="s">
        <v>2842</v>
      </c>
      <c r="K567" s="6" t="s">
        <v>1313</v>
      </c>
      <c r="L567" s="6" t="s">
        <v>1589</v>
      </c>
      <c r="M567" s="8">
        <v>990</v>
      </c>
      <c r="N567" s="6" t="s">
        <v>3075</v>
      </c>
      <c r="O567" s="24">
        <v>1</v>
      </c>
      <c r="P567" s="8">
        <v>990</v>
      </c>
      <c r="Q567" s="6" t="s">
        <v>3075</v>
      </c>
      <c r="R567" s="6" t="s">
        <v>2393</v>
      </c>
      <c r="S567" s="6" t="s">
        <v>2811</v>
      </c>
      <c r="T567" s="10" t="s">
        <v>3076</v>
      </c>
      <c r="U567" s="10" t="s">
        <v>3077</v>
      </c>
      <c r="V567" s="6" t="s">
        <v>59</v>
      </c>
      <c r="W567" s="8">
        <v>990</v>
      </c>
      <c r="X567" s="6" t="s">
        <v>74</v>
      </c>
    </row>
    <row r="568" spans="1:25" s="6" customFormat="1" ht="220.8">
      <c r="A568" s="6" t="s">
        <v>39</v>
      </c>
      <c r="B568" s="6">
        <v>23</v>
      </c>
      <c r="C568" s="7" t="s">
        <v>183</v>
      </c>
      <c r="D568" s="6" t="s">
        <v>3078</v>
      </c>
      <c r="E568" s="6" t="s">
        <v>3079</v>
      </c>
      <c r="F568" s="6" t="s">
        <v>2879</v>
      </c>
      <c r="G568" s="6" t="s">
        <v>1059</v>
      </c>
      <c r="H568" s="6" t="s">
        <v>3080</v>
      </c>
      <c r="I568" s="7" t="s">
        <v>2861</v>
      </c>
      <c r="J568" s="7" t="s">
        <v>3082</v>
      </c>
      <c r="K568" s="6">
        <v>3</v>
      </c>
      <c r="L568" s="6" t="s">
        <v>2906</v>
      </c>
      <c r="M568" s="8">
        <v>382091</v>
      </c>
      <c r="N568" s="6" t="s">
        <v>3083</v>
      </c>
      <c r="O568" s="24">
        <v>1</v>
      </c>
      <c r="P568" s="8">
        <v>382091</v>
      </c>
      <c r="Q568" s="6" t="s">
        <v>3083</v>
      </c>
      <c r="R568" s="6" t="s">
        <v>3081</v>
      </c>
      <c r="S568" s="6" t="s">
        <v>3084</v>
      </c>
      <c r="T568" s="10" t="s">
        <v>3085</v>
      </c>
      <c r="U568" s="10" t="s">
        <v>3086</v>
      </c>
      <c r="V568" s="6" t="s">
        <v>59</v>
      </c>
      <c r="W568" s="8">
        <v>382091</v>
      </c>
      <c r="X568" s="6" t="s">
        <v>74</v>
      </c>
    </row>
    <row r="569" spans="1:25" s="6" customFormat="1" ht="207">
      <c r="A569" s="6" t="s">
        <v>39</v>
      </c>
      <c r="B569" s="6">
        <v>23</v>
      </c>
      <c r="C569" s="7" t="s">
        <v>183</v>
      </c>
      <c r="D569" s="6" t="s">
        <v>3078</v>
      </c>
      <c r="E569" s="6" t="s">
        <v>3079</v>
      </c>
      <c r="F569" s="6" t="s">
        <v>2879</v>
      </c>
      <c r="G569" s="6" t="s">
        <v>1059</v>
      </c>
      <c r="H569" s="6" t="s">
        <v>3080</v>
      </c>
      <c r="I569" s="7" t="s">
        <v>2861</v>
      </c>
      <c r="J569" s="7" t="s">
        <v>3082</v>
      </c>
      <c r="K569" s="6">
        <v>3</v>
      </c>
      <c r="L569" s="6" t="s">
        <v>2906</v>
      </c>
      <c r="M569" s="8">
        <v>242930</v>
      </c>
      <c r="N569" s="6" t="s">
        <v>3087</v>
      </c>
      <c r="O569" s="24">
        <v>1</v>
      </c>
      <c r="P569" s="8">
        <v>242930</v>
      </c>
      <c r="Q569" s="6" t="s">
        <v>3087</v>
      </c>
      <c r="R569" s="6" t="s">
        <v>3093</v>
      </c>
      <c r="S569" s="6" t="s">
        <v>3084</v>
      </c>
      <c r="T569" s="10" t="s">
        <v>3088</v>
      </c>
      <c r="U569" s="10" t="s">
        <v>3089</v>
      </c>
      <c r="V569" s="6" t="s">
        <v>59</v>
      </c>
      <c r="W569" s="8">
        <v>242930</v>
      </c>
      <c r="X569" s="6" t="s">
        <v>74</v>
      </c>
    </row>
    <row r="570" spans="1:25" s="6" customFormat="1" ht="207">
      <c r="A570" s="6" t="s">
        <v>39</v>
      </c>
      <c r="B570" s="6">
        <v>23</v>
      </c>
      <c r="C570" s="7" t="s">
        <v>114</v>
      </c>
      <c r="D570" s="6" t="s">
        <v>3090</v>
      </c>
      <c r="E570" s="6" t="s">
        <v>3091</v>
      </c>
      <c r="F570" s="6" t="s">
        <v>2879</v>
      </c>
      <c r="G570" s="6" t="s">
        <v>1059</v>
      </c>
      <c r="H570" s="6" t="s">
        <v>3080</v>
      </c>
      <c r="I570" s="7" t="s">
        <v>2843</v>
      </c>
      <c r="J570" s="7" t="s">
        <v>2843</v>
      </c>
      <c r="K570" s="6" t="s">
        <v>1199</v>
      </c>
      <c r="L570" s="6" t="s">
        <v>2906</v>
      </c>
      <c r="M570" s="8">
        <v>98000</v>
      </c>
      <c r="N570" s="6" t="s">
        <v>3092</v>
      </c>
      <c r="O570" s="24">
        <v>1</v>
      </c>
      <c r="P570" s="8">
        <v>98000</v>
      </c>
      <c r="Q570" s="6" t="s">
        <v>3092</v>
      </c>
      <c r="R570" s="6" t="s">
        <v>3093</v>
      </c>
      <c r="S570" s="6" t="s">
        <v>3084</v>
      </c>
      <c r="T570" s="10" t="s">
        <v>3094</v>
      </c>
      <c r="U570" s="10" t="s">
        <v>3095</v>
      </c>
      <c r="V570" s="6" t="s">
        <v>59</v>
      </c>
      <c r="W570" s="8">
        <v>98000</v>
      </c>
      <c r="X570" s="6" t="s">
        <v>74</v>
      </c>
    </row>
    <row r="571" spans="1:25" s="6" customFormat="1" ht="262.2">
      <c r="A571" s="6" t="s">
        <v>39</v>
      </c>
      <c r="B571" s="6">
        <v>23</v>
      </c>
      <c r="C571" s="7" t="s">
        <v>125</v>
      </c>
      <c r="D571" s="6" t="s">
        <v>2840</v>
      </c>
      <c r="E571" s="6" t="s">
        <v>2841</v>
      </c>
      <c r="F571" s="6" t="s">
        <v>1568</v>
      </c>
      <c r="G571" s="6" t="s">
        <v>55</v>
      </c>
      <c r="H571" s="6" t="s">
        <v>158</v>
      </c>
      <c r="I571" s="7" t="s">
        <v>2842</v>
      </c>
      <c r="J571" s="7" t="s">
        <v>2843</v>
      </c>
      <c r="K571" s="6" t="s">
        <v>1171</v>
      </c>
      <c r="L571" s="6" t="s">
        <v>1589</v>
      </c>
      <c r="M571" s="8">
        <v>300</v>
      </c>
      <c r="N571" s="6" t="s">
        <v>2844</v>
      </c>
      <c r="O571" s="24">
        <v>1</v>
      </c>
      <c r="P571" s="8">
        <v>300</v>
      </c>
      <c r="Q571" s="6" t="s">
        <v>2844</v>
      </c>
      <c r="R571" s="6" t="s">
        <v>2393</v>
      </c>
      <c r="S571" s="6" t="s">
        <v>2845</v>
      </c>
      <c r="T571" s="10" t="s">
        <v>2846</v>
      </c>
      <c r="U571" s="10" t="s">
        <v>2847</v>
      </c>
      <c r="V571" s="6" t="s">
        <v>59</v>
      </c>
      <c r="W571" s="8">
        <v>300</v>
      </c>
      <c r="X571" s="6" t="s">
        <v>74</v>
      </c>
    </row>
    <row r="572" spans="1:25" s="6" customFormat="1" ht="303.60000000000002">
      <c r="A572" s="6" t="s">
        <v>39</v>
      </c>
      <c r="B572" s="6">
        <v>23</v>
      </c>
      <c r="C572" s="7" t="s">
        <v>134</v>
      </c>
      <c r="D572" s="6" t="s">
        <v>2848</v>
      </c>
      <c r="E572" s="6" t="s">
        <v>2849</v>
      </c>
      <c r="F572" s="6" t="s">
        <v>1568</v>
      </c>
      <c r="G572" s="6" t="s">
        <v>55</v>
      </c>
      <c r="H572" s="6" t="s">
        <v>49</v>
      </c>
      <c r="I572" s="7" t="s">
        <v>2843</v>
      </c>
      <c r="J572" s="7" t="s">
        <v>2850</v>
      </c>
      <c r="K572" s="6">
        <v>1</v>
      </c>
      <c r="L572" s="6" t="s">
        <v>1589</v>
      </c>
      <c r="M572" s="8">
        <v>4460</v>
      </c>
      <c r="N572" s="6" t="s">
        <v>2851</v>
      </c>
      <c r="O572" s="24">
        <v>1</v>
      </c>
      <c r="P572" s="8">
        <v>4460</v>
      </c>
      <c r="Q572" s="6" t="s">
        <v>2851</v>
      </c>
      <c r="R572" s="6" t="s">
        <v>2393</v>
      </c>
      <c r="S572" s="6" t="s">
        <v>2811</v>
      </c>
      <c r="T572" s="10" t="s">
        <v>2852</v>
      </c>
      <c r="U572" s="10" t="s">
        <v>2853</v>
      </c>
      <c r="V572" s="6" t="s">
        <v>59</v>
      </c>
      <c r="W572" s="8">
        <v>10000</v>
      </c>
      <c r="X572" s="6" t="s">
        <v>74</v>
      </c>
    </row>
    <row r="573" spans="1:25" s="6" customFormat="1" ht="303.60000000000002">
      <c r="A573" s="6" t="s">
        <v>39</v>
      </c>
      <c r="B573" s="6">
        <v>23</v>
      </c>
      <c r="C573" s="7" t="s">
        <v>134</v>
      </c>
      <c r="D573" s="6" t="s">
        <v>2848</v>
      </c>
      <c r="E573" s="6" t="s">
        <v>2849</v>
      </c>
      <c r="F573" s="6" t="s">
        <v>1568</v>
      </c>
      <c r="G573" s="6" t="s">
        <v>55</v>
      </c>
      <c r="H573" s="6" t="s">
        <v>49</v>
      </c>
      <c r="I573" s="7" t="s">
        <v>2843</v>
      </c>
      <c r="J573" s="7" t="s">
        <v>2843</v>
      </c>
      <c r="K573" s="6" t="s">
        <v>2345</v>
      </c>
      <c r="L573" s="6" t="s">
        <v>1589</v>
      </c>
      <c r="M573" s="8">
        <v>400</v>
      </c>
      <c r="N573" s="6" t="s">
        <v>2854</v>
      </c>
      <c r="O573" s="24">
        <v>1</v>
      </c>
      <c r="P573" s="8">
        <v>400</v>
      </c>
      <c r="Q573" s="6" t="s">
        <v>2854</v>
      </c>
      <c r="R573" s="6" t="s">
        <v>2393</v>
      </c>
      <c r="S573" s="6" t="s">
        <v>2811</v>
      </c>
      <c r="T573" s="10" t="s">
        <v>2855</v>
      </c>
      <c r="U573" s="10" t="s">
        <v>2856</v>
      </c>
      <c r="V573" s="6" t="s">
        <v>59</v>
      </c>
      <c r="W573" s="8">
        <v>400</v>
      </c>
      <c r="X573" s="6" t="s">
        <v>74</v>
      </c>
    </row>
    <row r="574" spans="1:25" s="6" customFormat="1" ht="165.6">
      <c r="A574" s="6" t="s">
        <v>39</v>
      </c>
      <c r="B574" s="6">
        <v>23</v>
      </c>
      <c r="C574" s="7" t="s">
        <v>191</v>
      </c>
      <c r="D574" s="6" t="s">
        <v>3096</v>
      </c>
      <c r="E574" s="6" t="s">
        <v>3097</v>
      </c>
      <c r="F574" s="6" t="s">
        <v>1278</v>
      </c>
      <c r="G574" s="6" t="s">
        <v>55</v>
      </c>
      <c r="H574" s="6" t="s">
        <v>158</v>
      </c>
      <c r="I574" s="7" t="s">
        <v>2850</v>
      </c>
      <c r="J574" s="7" t="s">
        <v>2453</v>
      </c>
      <c r="K574" s="6" t="s">
        <v>1199</v>
      </c>
      <c r="L574" s="6" t="s">
        <v>43</v>
      </c>
      <c r="M574" s="8">
        <v>500</v>
      </c>
      <c r="N574" s="6" t="s">
        <v>3098</v>
      </c>
      <c r="O574" s="24">
        <v>1</v>
      </c>
      <c r="P574" s="8">
        <v>500</v>
      </c>
      <c r="Q574" s="6" t="s">
        <v>3098</v>
      </c>
      <c r="R574" s="6" t="s">
        <v>1509</v>
      </c>
      <c r="S574" s="6" t="s">
        <v>3099</v>
      </c>
      <c r="T574" s="10" t="s">
        <v>3100</v>
      </c>
      <c r="U574" s="10" t="s">
        <v>3101</v>
      </c>
      <c r="V574" s="6" t="s">
        <v>59</v>
      </c>
      <c r="W574" s="8">
        <v>500</v>
      </c>
      <c r="X574" s="6" t="s">
        <v>74</v>
      </c>
    </row>
    <row r="575" spans="1:25" s="6" customFormat="1" ht="220.8">
      <c r="A575" s="6" t="s">
        <v>39</v>
      </c>
      <c r="B575" s="6">
        <v>23</v>
      </c>
      <c r="C575" s="7" t="s">
        <v>273</v>
      </c>
      <c r="D575" s="6" t="s">
        <v>2857</v>
      </c>
      <c r="E575" s="6" t="s">
        <v>4112</v>
      </c>
      <c r="F575" s="6" t="s">
        <v>40</v>
      </c>
      <c r="G575" s="6" t="s">
        <v>55</v>
      </c>
      <c r="H575" s="6" t="s">
        <v>158</v>
      </c>
      <c r="I575" s="7" t="s">
        <v>2850</v>
      </c>
      <c r="J575" s="7" t="s">
        <v>2453</v>
      </c>
      <c r="K575" s="6">
        <v>1</v>
      </c>
      <c r="L575" s="6" t="s">
        <v>43</v>
      </c>
      <c r="M575" s="8">
        <v>7200</v>
      </c>
      <c r="N575" s="6" t="s">
        <v>4113</v>
      </c>
      <c r="O575" s="24">
        <v>1</v>
      </c>
      <c r="P575" s="8">
        <v>7200</v>
      </c>
      <c r="Q575" s="6" t="s">
        <v>4113</v>
      </c>
      <c r="R575" s="6" t="s">
        <v>4114</v>
      </c>
      <c r="S575" s="6" t="s">
        <v>4115</v>
      </c>
      <c r="T575" s="10" t="s">
        <v>4116</v>
      </c>
      <c r="U575" s="10" t="s">
        <v>4117</v>
      </c>
      <c r="V575" s="6" t="s">
        <v>59</v>
      </c>
      <c r="W575" s="8">
        <v>7200</v>
      </c>
      <c r="X575" s="6" t="s">
        <v>74</v>
      </c>
    </row>
    <row r="576" spans="1:25" s="6" customFormat="1" ht="409.6">
      <c r="A576" s="6" t="s">
        <v>39</v>
      </c>
      <c r="B576" s="26">
        <v>23</v>
      </c>
      <c r="C576" s="27" t="s">
        <v>192</v>
      </c>
      <c r="D576" s="6" t="s">
        <v>3102</v>
      </c>
      <c r="E576" s="6" t="s">
        <v>3103</v>
      </c>
      <c r="F576" s="6" t="s">
        <v>3104</v>
      </c>
      <c r="G576" s="6" t="s">
        <v>3105</v>
      </c>
      <c r="H576" s="6" t="s">
        <v>3106</v>
      </c>
      <c r="I576" s="7" t="s">
        <v>2960</v>
      </c>
      <c r="J576" s="7" t="s">
        <v>2865</v>
      </c>
      <c r="K576" s="6">
        <v>9</v>
      </c>
      <c r="L576" s="6" t="s">
        <v>1576</v>
      </c>
      <c r="M576" s="45" t="s">
        <v>461</v>
      </c>
      <c r="N576" s="48" t="s">
        <v>461</v>
      </c>
      <c r="O576" s="32" t="s">
        <v>461</v>
      </c>
      <c r="P576" s="8">
        <v>126904.01</v>
      </c>
      <c r="Q576" s="6" t="s">
        <v>3107</v>
      </c>
      <c r="R576" s="6" t="s">
        <v>3108</v>
      </c>
      <c r="S576" s="6" t="s">
        <v>3109</v>
      </c>
      <c r="T576" s="10" t="s">
        <v>3110</v>
      </c>
      <c r="U576" s="10" t="s">
        <v>3111</v>
      </c>
      <c r="V576" s="6" t="s">
        <v>59</v>
      </c>
      <c r="W576" s="8" t="s">
        <v>4118</v>
      </c>
      <c r="X576" s="6" t="s">
        <v>74</v>
      </c>
    </row>
    <row r="577" spans="1:25" s="37" customFormat="1" ht="207">
      <c r="A577" s="37" t="s">
        <v>39</v>
      </c>
      <c r="B577" s="37">
        <v>23</v>
      </c>
      <c r="C577" s="38" t="s">
        <v>201</v>
      </c>
      <c r="D577" s="37" t="s">
        <v>3898</v>
      </c>
      <c r="E577" s="37" t="s">
        <v>4119</v>
      </c>
      <c r="F577" s="37" t="s">
        <v>40</v>
      </c>
      <c r="G577" s="37" t="s">
        <v>55</v>
      </c>
      <c r="H577" s="37" t="s">
        <v>137</v>
      </c>
      <c r="I577" s="38" t="s">
        <v>2960</v>
      </c>
      <c r="J577" s="38" t="s">
        <v>2631</v>
      </c>
      <c r="K577" s="37">
        <v>1</v>
      </c>
      <c r="L577" s="37" t="s">
        <v>43</v>
      </c>
      <c r="M577" s="39">
        <v>7400</v>
      </c>
      <c r="N577" s="37" t="s">
        <v>4120</v>
      </c>
      <c r="O577" s="40">
        <v>1</v>
      </c>
      <c r="P577" s="39">
        <v>7400</v>
      </c>
      <c r="Q577" s="37" t="s">
        <v>4120</v>
      </c>
      <c r="R577" s="37" t="s">
        <v>4121</v>
      </c>
      <c r="S577" s="37" t="s">
        <v>4122</v>
      </c>
      <c r="T577" s="41" t="s">
        <v>4123</v>
      </c>
      <c r="U577" s="41" t="s">
        <v>4124</v>
      </c>
      <c r="V577" s="37" t="s">
        <v>59</v>
      </c>
      <c r="W577" s="39">
        <v>7400</v>
      </c>
      <c r="X577" s="37" t="s">
        <v>74</v>
      </c>
    </row>
    <row r="578" spans="1:25" s="6" customFormat="1" ht="358.8">
      <c r="A578" s="6" t="s">
        <v>39</v>
      </c>
      <c r="B578" s="6">
        <v>23</v>
      </c>
      <c r="C578" s="7" t="s">
        <v>285</v>
      </c>
      <c r="D578" s="6" t="s">
        <v>3804</v>
      </c>
      <c r="E578" s="6" t="s">
        <v>3805</v>
      </c>
      <c r="F578" s="6" t="s">
        <v>1278</v>
      </c>
      <c r="G578" s="6" t="s">
        <v>55</v>
      </c>
      <c r="H578" s="6" t="s">
        <v>158</v>
      </c>
      <c r="I578" s="7" t="s">
        <v>2631</v>
      </c>
      <c r="J578" s="7" t="s">
        <v>3807</v>
      </c>
      <c r="K578" s="6">
        <v>25</v>
      </c>
      <c r="L578" s="6" t="s">
        <v>43</v>
      </c>
      <c r="M578" s="8">
        <v>198000</v>
      </c>
      <c r="N578" s="6" t="s">
        <v>3806</v>
      </c>
      <c r="O578" s="24">
        <v>1</v>
      </c>
      <c r="P578" s="8">
        <v>198000</v>
      </c>
      <c r="Q578" s="6" t="s">
        <v>3806</v>
      </c>
      <c r="R578" s="6" t="s">
        <v>1509</v>
      </c>
      <c r="S578" s="6" t="s">
        <v>2634</v>
      </c>
      <c r="T578" s="10" t="s">
        <v>3808</v>
      </c>
      <c r="U578" s="10" t="s">
        <v>3809</v>
      </c>
      <c r="V578" s="6" t="s">
        <v>59</v>
      </c>
      <c r="W578" s="8">
        <v>198000</v>
      </c>
      <c r="X578" s="6" t="s">
        <v>74</v>
      </c>
      <c r="Y578" s="6" t="s">
        <v>3810</v>
      </c>
    </row>
    <row r="579" spans="1:25" s="6" customFormat="1" ht="138">
      <c r="A579" s="6" t="s">
        <v>39</v>
      </c>
      <c r="B579" s="26">
        <v>23</v>
      </c>
      <c r="C579" s="27" t="s">
        <v>295</v>
      </c>
      <c r="D579" s="6" t="s">
        <v>3899</v>
      </c>
      <c r="E579" s="6" t="s">
        <v>4125</v>
      </c>
      <c r="F579" s="6" t="s">
        <v>40</v>
      </c>
      <c r="G579" s="6" t="s">
        <v>55</v>
      </c>
      <c r="H579" s="6" t="s">
        <v>4126</v>
      </c>
      <c r="I579" s="7" t="s">
        <v>2925</v>
      </c>
      <c r="J579" s="7" t="s">
        <v>2992</v>
      </c>
      <c r="K579" s="6" t="s">
        <v>1199</v>
      </c>
      <c r="L579" s="6" t="s">
        <v>43</v>
      </c>
      <c r="M579" s="31" t="s">
        <v>461</v>
      </c>
      <c r="N579" s="26" t="s">
        <v>461</v>
      </c>
      <c r="O579" s="24">
        <v>1</v>
      </c>
      <c r="P579" s="31" t="s">
        <v>461</v>
      </c>
      <c r="Q579" s="26" t="s">
        <v>461</v>
      </c>
      <c r="R579" s="26" t="s">
        <v>461</v>
      </c>
      <c r="S579" s="26" t="s">
        <v>461</v>
      </c>
      <c r="T579" s="10" t="s">
        <v>4127</v>
      </c>
      <c r="U579" s="10" t="s">
        <v>4128</v>
      </c>
      <c r="V579" s="6" t="s">
        <v>59</v>
      </c>
      <c r="W579" s="31" t="s">
        <v>461</v>
      </c>
      <c r="X579" s="6" t="s">
        <v>74</v>
      </c>
    </row>
    <row r="580" spans="1:25" s="6" customFormat="1" ht="262.2">
      <c r="A580" s="6" t="s">
        <v>39</v>
      </c>
      <c r="B580" s="6">
        <v>23</v>
      </c>
      <c r="C580" s="7" t="s">
        <v>305</v>
      </c>
      <c r="D580" s="6" t="s">
        <v>2858</v>
      </c>
      <c r="E580" s="6" t="s">
        <v>2859</v>
      </c>
      <c r="F580" s="6" t="s">
        <v>1278</v>
      </c>
      <c r="G580" s="6" t="s">
        <v>55</v>
      </c>
      <c r="H580" s="6" t="s">
        <v>158</v>
      </c>
      <c r="I580" s="7" t="s">
        <v>2861</v>
      </c>
      <c r="J580" s="7" t="s">
        <v>2860</v>
      </c>
      <c r="K580" s="6">
        <v>1</v>
      </c>
      <c r="L580" s="6" t="s">
        <v>43</v>
      </c>
      <c r="M580" s="8">
        <v>4987.5</v>
      </c>
      <c r="N580" s="6" t="s">
        <v>2830</v>
      </c>
      <c r="O580" s="24">
        <v>1</v>
      </c>
      <c r="P580" s="8">
        <v>4987.5</v>
      </c>
      <c r="Q580" s="6" t="s">
        <v>2830</v>
      </c>
      <c r="R580" s="6" t="s">
        <v>1509</v>
      </c>
      <c r="S580" s="6" t="s">
        <v>2862</v>
      </c>
      <c r="T580" s="10" t="s">
        <v>2831</v>
      </c>
      <c r="U580" s="10" t="s">
        <v>2727</v>
      </c>
      <c r="V580" s="6" t="s">
        <v>59</v>
      </c>
      <c r="W580" s="8">
        <v>4987.5</v>
      </c>
      <c r="X580" s="6" t="s">
        <v>74</v>
      </c>
    </row>
    <row r="581" spans="1:25" s="6" customFormat="1" ht="262.2">
      <c r="A581" s="6" t="s">
        <v>39</v>
      </c>
      <c r="B581" s="6">
        <v>24</v>
      </c>
      <c r="C581" s="7" t="s">
        <v>80</v>
      </c>
      <c r="D581" s="6" t="s">
        <v>3900</v>
      </c>
      <c r="E581" s="6" t="s">
        <v>3926</v>
      </c>
      <c r="F581" s="6" t="s">
        <v>1568</v>
      </c>
      <c r="G581" s="6" t="s">
        <v>55</v>
      </c>
      <c r="H581" s="6" t="s">
        <v>613</v>
      </c>
      <c r="I581" s="7" t="s">
        <v>3082</v>
      </c>
      <c r="J581" s="7" t="s">
        <v>3927</v>
      </c>
      <c r="K581" s="6">
        <v>1</v>
      </c>
      <c r="L581" s="6" t="s">
        <v>2906</v>
      </c>
      <c r="M581" s="8">
        <v>2100</v>
      </c>
      <c r="N581" s="6" t="s">
        <v>3928</v>
      </c>
      <c r="O581" s="24">
        <v>1</v>
      </c>
      <c r="P581" s="8">
        <v>2100</v>
      </c>
      <c r="Q581" s="6" t="s">
        <v>3928</v>
      </c>
      <c r="R581" s="6" t="s">
        <v>2393</v>
      </c>
      <c r="S581" s="6" t="s">
        <v>3929</v>
      </c>
      <c r="T581" s="10" t="s">
        <v>3930</v>
      </c>
      <c r="U581" s="10" t="s">
        <v>3946</v>
      </c>
      <c r="V581" s="6" t="s">
        <v>59</v>
      </c>
      <c r="W581" s="8">
        <v>252000</v>
      </c>
      <c r="X581" s="6" t="s">
        <v>74</v>
      </c>
    </row>
    <row r="582" spans="1:25" s="6" customFormat="1" ht="409.6">
      <c r="A582" s="6" t="s">
        <v>39</v>
      </c>
      <c r="B582" s="6">
        <v>24</v>
      </c>
      <c r="C582" s="7" t="s">
        <v>93</v>
      </c>
      <c r="D582" s="6" t="s">
        <v>3901</v>
      </c>
      <c r="E582" s="6" t="s">
        <v>3931</v>
      </c>
      <c r="F582" s="6" t="s">
        <v>1278</v>
      </c>
      <c r="G582" s="6" t="s">
        <v>55</v>
      </c>
      <c r="H582" s="6" t="s">
        <v>158</v>
      </c>
      <c r="I582" s="7" t="s">
        <v>2978</v>
      </c>
      <c r="J582" s="7" t="s">
        <v>2889</v>
      </c>
      <c r="K582" s="6">
        <v>12</v>
      </c>
      <c r="L582" s="6" t="s">
        <v>2998</v>
      </c>
      <c r="M582" s="8">
        <v>223009.7</v>
      </c>
      <c r="N582" s="6" t="s">
        <v>3932</v>
      </c>
      <c r="O582" s="24">
        <v>0.5</v>
      </c>
      <c r="P582" s="8">
        <v>111504.85</v>
      </c>
      <c r="Q582" s="6" t="s">
        <v>3933</v>
      </c>
      <c r="R582" s="6" t="s">
        <v>1509</v>
      </c>
      <c r="S582" s="6" t="s">
        <v>3934</v>
      </c>
      <c r="T582" s="10" t="s">
        <v>3935</v>
      </c>
      <c r="U582" s="10" t="s">
        <v>3936</v>
      </c>
      <c r="V582" s="6" t="s">
        <v>59</v>
      </c>
      <c r="W582" s="8">
        <v>223009.7</v>
      </c>
      <c r="X582" s="6" t="s">
        <v>74</v>
      </c>
    </row>
    <row r="583" spans="1:25" s="6" customFormat="1" ht="234.6">
      <c r="A583" s="6" t="s">
        <v>39</v>
      </c>
      <c r="B583" s="6">
        <v>24</v>
      </c>
      <c r="C583" s="7" t="s">
        <v>104</v>
      </c>
      <c r="D583" s="6" t="s">
        <v>3902</v>
      </c>
      <c r="E583" s="6" t="s">
        <v>3937</v>
      </c>
      <c r="F583" s="6" t="s">
        <v>1568</v>
      </c>
      <c r="G583" s="6" t="s">
        <v>55</v>
      </c>
      <c r="H583" s="6" t="s">
        <v>158</v>
      </c>
      <c r="I583" s="7" t="s">
        <v>3927</v>
      </c>
      <c r="J583" s="7" t="s">
        <v>3927</v>
      </c>
      <c r="K583" s="6" t="s">
        <v>1199</v>
      </c>
      <c r="L583" s="6" t="s">
        <v>2906</v>
      </c>
      <c r="M583" s="8">
        <v>4320</v>
      </c>
      <c r="N583" s="6" t="s">
        <v>3938</v>
      </c>
      <c r="O583" s="24">
        <v>1</v>
      </c>
      <c r="P583" s="8">
        <v>4320</v>
      </c>
      <c r="Q583" s="6" t="s">
        <v>3938</v>
      </c>
      <c r="R583" s="6" t="s">
        <v>3939</v>
      </c>
      <c r="S583" s="6" t="s">
        <v>3940</v>
      </c>
      <c r="T583" s="10" t="s">
        <v>3941</v>
      </c>
      <c r="U583" s="10" t="s">
        <v>3942</v>
      </c>
      <c r="V583" s="6" t="s">
        <v>59</v>
      </c>
      <c r="W583" s="8">
        <v>123034.1</v>
      </c>
      <c r="X583" s="6" t="s">
        <v>74</v>
      </c>
      <c r="Y583" s="6" t="s">
        <v>3943</v>
      </c>
    </row>
    <row r="584" spans="1:25" s="6" customFormat="1" ht="303.60000000000002">
      <c r="A584" s="6" t="s">
        <v>39</v>
      </c>
      <c r="B584" s="6">
        <v>24</v>
      </c>
      <c r="C584" s="7" t="s">
        <v>113</v>
      </c>
      <c r="D584" s="6" t="s">
        <v>3903</v>
      </c>
      <c r="E584" s="6" t="s">
        <v>3926</v>
      </c>
      <c r="F584" s="6" t="s">
        <v>1568</v>
      </c>
      <c r="G584" s="6" t="s">
        <v>55</v>
      </c>
      <c r="H584" s="6" t="s">
        <v>613</v>
      </c>
      <c r="I584" s="7" t="s">
        <v>2978</v>
      </c>
      <c r="J584" s="7" t="s">
        <v>2866</v>
      </c>
      <c r="K584" s="6">
        <v>3</v>
      </c>
      <c r="L584" s="6" t="s">
        <v>2906</v>
      </c>
      <c r="M584" s="8">
        <v>2275</v>
      </c>
      <c r="N584" s="6" t="s">
        <v>3944</v>
      </c>
      <c r="O584" s="24">
        <v>1</v>
      </c>
      <c r="P584" s="8">
        <v>2275</v>
      </c>
      <c r="Q584" s="6" t="s">
        <v>3944</v>
      </c>
      <c r="R584" s="6" t="s">
        <v>2393</v>
      </c>
      <c r="S584" s="6" t="s">
        <v>2811</v>
      </c>
      <c r="T584" s="10" t="s">
        <v>3945</v>
      </c>
      <c r="U584" s="10" t="s">
        <v>3947</v>
      </c>
      <c r="V584" s="6" t="s">
        <v>59</v>
      </c>
      <c r="W584" s="8">
        <v>16732.150000000001</v>
      </c>
      <c r="X584" s="6" t="s">
        <v>74</v>
      </c>
      <c r="Y584" s="6" t="s">
        <v>3948</v>
      </c>
    </row>
    <row r="585" spans="1:25" s="6" customFormat="1" ht="409.6">
      <c r="A585" s="6" t="s">
        <v>39</v>
      </c>
      <c r="B585" s="6">
        <v>24</v>
      </c>
      <c r="C585" s="7" t="s">
        <v>167</v>
      </c>
      <c r="D585" s="6" t="s">
        <v>3904</v>
      </c>
      <c r="E585" s="6" t="s">
        <v>3949</v>
      </c>
      <c r="F585" s="6" t="s">
        <v>2880</v>
      </c>
      <c r="G585" s="6" t="s">
        <v>55</v>
      </c>
      <c r="H585" s="6" t="s">
        <v>859</v>
      </c>
      <c r="I585" s="7" t="s">
        <v>2865</v>
      </c>
      <c r="J585" s="7" t="s">
        <v>3950</v>
      </c>
      <c r="K585" s="6">
        <v>54</v>
      </c>
      <c r="L585" s="6" t="s">
        <v>2998</v>
      </c>
      <c r="M585" s="8">
        <v>1682445.5</v>
      </c>
      <c r="N585" s="6" t="s">
        <v>3951</v>
      </c>
      <c r="O585" s="24">
        <v>0.5</v>
      </c>
      <c r="P585" s="8">
        <v>841222.75</v>
      </c>
      <c r="Q585" s="6" t="s">
        <v>3952</v>
      </c>
      <c r="R585" s="6" t="s">
        <v>1509</v>
      </c>
      <c r="S585" s="6" t="s">
        <v>3285</v>
      </c>
      <c r="T585" s="10" t="s">
        <v>3953</v>
      </c>
      <c r="U585" s="10" t="s">
        <v>3954</v>
      </c>
      <c r="V585" s="6" t="s">
        <v>59</v>
      </c>
      <c r="W585" s="8">
        <v>1682445.5</v>
      </c>
      <c r="X585" s="6" t="s">
        <v>74</v>
      </c>
    </row>
    <row r="586" spans="1:25" s="6" customFormat="1" ht="409.6">
      <c r="A586" s="6" t="s">
        <v>39</v>
      </c>
      <c r="B586" s="6">
        <v>24</v>
      </c>
      <c r="C586" s="7" t="s">
        <v>176</v>
      </c>
      <c r="D586" s="6" t="s">
        <v>3905</v>
      </c>
      <c r="E586" s="6" t="s">
        <v>3955</v>
      </c>
      <c r="F586" s="6" t="s">
        <v>40</v>
      </c>
      <c r="G586" s="6" t="s">
        <v>1407</v>
      </c>
      <c r="H586" s="6" t="s">
        <v>3905</v>
      </c>
      <c r="I586" s="7" t="s">
        <v>2978</v>
      </c>
      <c r="J586" s="7" t="s">
        <v>2865</v>
      </c>
      <c r="K586" s="6">
        <v>2</v>
      </c>
      <c r="L586" s="6" t="s">
        <v>43</v>
      </c>
      <c r="M586" s="8">
        <v>14355</v>
      </c>
      <c r="N586" s="6" t="s">
        <v>3956</v>
      </c>
      <c r="O586" s="24">
        <v>1</v>
      </c>
      <c r="P586" s="8">
        <v>14355</v>
      </c>
      <c r="Q586" s="6" t="s">
        <v>3956</v>
      </c>
      <c r="R586" s="6" t="s">
        <v>3957</v>
      </c>
      <c r="S586" s="6" t="s">
        <v>3958</v>
      </c>
      <c r="T586" s="10" t="s">
        <v>3959</v>
      </c>
      <c r="U586" s="10" t="s">
        <v>3960</v>
      </c>
      <c r="V586" s="6" t="s">
        <v>59</v>
      </c>
      <c r="W586" s="8">
        <v>14355</v>
      </c>
      <c r="X586" s="6" t="s">
        <v>74</v>
      </c>
    </row>
    <row r="587" spans="1:25" s="6" customFormat="1" ht="409.6">
      <c r="A587" s="6" t="s">
        <v>39</v>
      </c>
      <c r="B587" s="6">
        <v>24</v>
      </c>
      <c r="C587" s="7" t="s">
        <v>183</v>
      </c>
      <c r="D587" s="6" t="s">
        <v>3906</v>
      </c>
      <c r="E587" s="6" t="s">
        <v>3961</v>
      </c>
      <c r="F587" s="6" t="s">
        <v>2880</v>
      </c>
      <c r="G587" s="6" t="s">
        <v>55</v>
      </c>
      <c r="H587" s="6" t="s">
        <v>3962</v>
      </c>
      <c r="I587" s="7" t="s">
        <v>2866</v>
      </c>
      <c r="J587" s="7" t="s">
        <v>3963</v>
      </c>
      <c r="K587" s="6">
        <v>54</v>
      </c>
      <c r="L587" s="6" t="s">
        <v>2998</v>
      </c>
      <c r="M587" s="8">
        <v>2016984.8</v>
      </c>
      <c r="N587" s="6" t="s">
        <v>3964</v>
      </c>
      <c r="O587" s="24">
        <v>0.5</v>
      </c>
      <c r="P587" s="8">
        <v>1008492.4</v>
      </c>
      <c r="Q587" s="6" t="s">
        <v>3965</v>
      </c>
      <c r="R587" s="6" t="s">
        <v>1509</v>
      </c>
      <c r="S587" s="6" t="s">
        <v>3966</v>
      </c>
      <c r="T587" s="10" t="s">
        <v>3967</v>
      </c>
      <c r="U587" s="10" t="s">
        <v>3954</v>
      </c>
      <c r="V587" s="6" t="s">
        <v>59</v>
      </c>
      <c r="W587" s="8">
        <v>2016984.8</v>
      </c>
      <c r="X587" s="6" t="s">
        <v>74</v>
      </c>
    </row>
    <row r="588" spans="1:25" s="6" customFormat="1" ht="234.6">
      <c r="A588" s="6" t="s">
        <v>39</v>
      </c>
      <c r="B588" s="6">
        <v>24</v>
      </c>
      <c r="C588" s="7" t="s">
        <v>114</v>
      </c>
      <c r="D588" s="6" t="s">
        <v>3907</v>
      </c>
      <c r="E588" s="6" t="s">
        <v>3968</v>
      </c>
      <c r="F588" s="6" t="s">
        <v>2880</v>
      </c>
      <c r="G588" s="6" t="s">
        <v>55</v>
      </c>
      <c r="H588" s="6" t="s">
        <v>3969</v>
      </c>
      <c r="I588" s="7" t="s">
        <v>3970</v>
      </c>
      <c r="J588" s="7" t="s">
        <v>3039</v>
      </c>
      <c r="K588" s="6">
        <v>5</v>
      </c>
      <c r="L588" s="6" t="s">
        <v>2906</v>
      </c>
      <c r="M588" s="8">
        <v>51675</v>
      </c>
      <c r="N588" s="6" t="s">
        <v>3971</v>
      </c>
      <c r="O588" s="24">
        <v>1</v>
      </c>
      <c r="P588" s="8">
        <v>51675</v>
      </c>
      <c r="Q588" s="6" t="s">
        <v>3971</v>
      </c>
      <c r="R588" s="6" t="s">
        <v>3972</v>
      </c>
      <c r="S588" s="6" t="s">
        <v>3973</v>
      </c>
      <c r="T588" s="10" t="s">
        <v>3974</v>
      </c>
      <c r="U588" s="10" t="s">
        <v>3975</v>
      </c>
      <c r="V588" s="6" t="s">
        <v>59</v>
      </c>
      <c r="W588" s="8">
        <v>5019153.79</v>
      </c>
      <c r="X588" s="6" t="s">
        <v>74</v>
      </c>
    </row>
    <row r="589" spans="1:25" s="6" customFormat="1" ht="289.8">
      <c r="A589" s="6" t="s">
        <v>39</v>
      </c>
      <c r="B589" s="6">
        <v>24</v>
      </c>
      <c r="C589" s="7" t="s">
        <v>125</v>
      </c>
      <c r="D589" s="6" t="s">
        <v>3908</v>
      </c>
      <c r="E589" s="6" t="s">
        <v>3976</v>
      </c>
      <c r="F589" s="6" t="s">
        <v>1568</v>
      </c>
      <c r="G589" s="6" t="s">
        <v>55</v>
      </c>
      <c r="H589" s="6" t="s">
        <v>158</v>
      </c>
      <c r="I589" s="7" t="s">
        <v>3970</v>
      </c>
      <c r="J589" s="7" t="s">
        <v>2865</v>
      </c>
      <c r="K589" s="6" t="s">
        <v>1199</v>
      </c>
      <c r="L589" s="6" t="s">
        <v>2906</v>
      </c>
      <c r="M589" s="8">
        <v>500</v>
      </c>
      <c r="N589" s="6" t="s">
        <v>3977</v>
      </c>
      <c r="O589" s="24">
        <v>1</v>
      </c>
      <c r="P589" s="8">
        <v>500</v>
      </c>
      <c r="Q589" s="6" t="s">
        <v>3977</v>
      </c>
      <c r="R589" s="6" t="s">
        <v>2393</v>
      </c>
      <c r="S589" s="6" t="s">
        <v>2817</v>
      </c>
      <c r="T589" s="10" t="s">
        <v>3978</v>
      </c>
      <c r="U589" s="10" t="s">
        <v>3979</v>
      </c>
      <c r="V589" s="6" t="s">
        <v>59</v>
      </c>
      <c r="W589" s="8">
        <v>500</v>
      </c>
      <c r="X589" s="6" t="s">
        <v>74</v>
      </c>
    </row>
    <row r="590" spans="1:25" s="6" customFormat="1" ht="262.2">
      <c r="A590" s="6" t="s">
        <v>39</v>
      </c>
      <c r="B590" s="6">
        <v>24</v>
      </c>
      <c r="C590" s="7" t="s">
        <v>134</v>
      </c>
      <c r="D590" s="6" t="s">
        <v>3909</v>
      </c>
      <c r="E590" s="6" t="s">
        <v>3074</v>
      </c>
      <c r="F590" s="6" t="s">
        <v>1568</v>
      </c>
      <c r="G590" s="6" t="s">
        <v>55</v>
      </c>
      <c r="H590" s="6" t="s">
        <v>158</v>
      </c>
      <c r="I590" s="7" t="s">
        <v>3970</v>
      </c>
      <c r="J590" s="7" t="s">
        <v>2865</v>
      </c>
      <c r="K590" s="6" t="s">
        <v>1199</v>
      </c>
      <c r="L590" s="6" t="s">
        <v>2906</v>
      </c>
      <c r="M590" s="8">
        <v>1750</v>
      </c>
      <c r="N590" s="6" t="s">
        <v>3980</v>
      </c>
      <c r="O590" s="24">
        <v>1</v>
      </c>
      <c r="P590" s="8">
        <v>1750</v>
      </c>
      <c r="Q590" s="6" t="s">
        <v>3980</v>
      </c>
      <c r="R590" s="6" t="s">
        <v>2393</v>
      </c>
      <c r="S590" s="6" t="s">
        <v>2845</v>
      </c>
      <c r="T590" s="10" t="s">
        <v>3981</v>
      </c>
      <c r="U590" s="10" t="s">
        <v>3982</v>
      </c>
      <c r="V590" s="6" t="s">
        <v>59</v>
      </c>
      <c r="W590" s="8">
        <v>1750</v>
      </c>
      <c r="X590" s="6" t="s">
        <v>74</v>
      </c>
    </row>
    <row r="591" spans="1:25" s="6" customFormat="1" ht="234.6">
      <c r="A591" s="6" t="s">
        <v>39</v>
      </c>
      <c r="B591" s="6">
        <v>24</v>
      </c>
      <c r="C591" s="7" t="s">
        <v>191</v>
      </c>
      <c r="D591" s="6" t="s">
        <v>3910</v>
      </c>
      <c r="E591" s="6" t="s">
        <v>3983</v>
      </c>
      <c r="F591" s="6" t="s">
        <v>2880</v>
      </c>
      <c r="G591" s="6" t="s">
        <v>55</v>
      </c>
      <c r="H591" s="6" t="s">
        <v>3984</v>
      </c>
      <c r="I591" s="7" t="s">
        <v>2865</v>
      </c>
      <c r="J591" s="7" t="s">
        <v>3985</v>
      </c>
      <c r="K591" s="6">
        <v>6</v>
      </c>
      <c r="L591" s="6" t="s">
        <v>2906</v>
      </c>
      <c r="M591" s="8">
        <v>49650</v>
      </c>
      <c r="N591" s="6" t="s">
        <v>3986</v>
      </c>
      <c r="O591" s="24">
        <v>1</v>
      </c>
      <c r="P591" s="8">
        <v>49650</v>
      </c>
      <c r="Q591" s="6" t="s">
        <v>3986</v>
      </c>
      <c r="R591" s="6" t="s">
        <v>3972</v>
      </c>
      <c r="S591" s="6" t="s">
        <v>3987</v>
      </c>
      <c r="T591" s="10" t="s">
        <v>3988</v>
      </c>
      <c r="U591" s="10" t="s">
        <v>3989</v>
      </c>
      <c r="V591" s="6" t="s">
        <v>59</v>
      </c>
      <c r="W591" s="8">
        <v>1991527.7</v>
      </c>
      <c r="X591" s="6" t="s">
        <v>74</v>
      </c>
    </row>
    <row r="592" spans="1:25" s="6" customFormat="1" ht="289.8">
      <c r="A592" s="6" t="s">
        <v>39</v>
      </c>
      <c r="B592" s="6">
        <v>24</v>
      </c>
      <c r="C592" s="7" t="s">
        <v>273</v>
      </c>
      <c r="D592" s="6" t="s">
        <v>3911</v>
      </c>
      <c r="E592" s="6" t="s">
        <v>3990</v>
      </c>
      <c r="F592" s="6" t="s">
        <v>1568</v>
      </c>
      <c r="G592" s="6" t="s">
        <v>55</v>
      </c>
      <c r="H592" s="6" t="s">
        <v>158</v>
      </c>
      <c r="I592" s="7" t="s">
        <v>2865</v>
      </c>
      <c r="J592" s="7" t="s">
        <v>2865</v>
      </c>
      <c r="K592" s="6" t="s">
        <v>1812</v>
      </c>
      <c r="L592" s="6" t="s">
        <v>2906</v>
      </c>
      <c r="M592" s="8">
        <v>150</v>
      </c>
      <c r="N592" s="6" t="s">
        <v>3991</v>
      </c>
      <c r="O592" s="24">
        <v>1</v>
      </c>
      <c r="P592" s="8">
        <v>150</v>
      </c>
      <c r="Q592" s="6" t="s">
        <v>3991</v>
      </c>
      <c r="R592" s="6" t="s">
        <v>2393</v>
      </c>
      <c r="S592" s="6" t="s">
        <v>2817</v>
      </c>
      <c r="T592" s="10" t="s">
        <v>3992</v>
      </c>
      <c r="U592" s="10" t="s">
        <v>3993</v>
      </c>
      <c r="V592" s="6" t="s">
        <v>59</v>
      </c>
      <c r="W592" s="8">
        <v>150</v>
      </c>
      <c r="X592" s="6" t="s">
        <v>74</v>
      </c>
    </row>
    <row r="593" spans="1:25" s="6" customFormat="1" ht="262.2">
      <c r="A593" s="6" t="s">
        <v>39</v>
      </c>
      <c r="B593" s="6">
        <v>24</v>
      </c>
      <c r="C593" s="7" t="s">
        <v>192</v>
      </c>
      <c r="D593" s="6" t="s">
        <v>3912</v>
      </c>
      <c r="E593" s="6" t="s">
        <v>3046</v>
      </c>
      <c r="F593" s="6" t="s">
        <v>2880</v>
      </c>
      <c r="G593" s="6" t="s">
        <v>55</v>
      </c>
      <c r="H593" s="6" t="s">
        <v>158</v>
      </c>
      <c r="I593" s="7" t="s">
        <v>2866</v>
      </c>
      <c r="J593" s="7" t="s">
        <v>3994</v>
      </c>
      <c r="K593" s="6">
        <v>12</v>
      </c>
      <c r="L593" s="6" t="s">
        <v>2906</v>
      </c>
      <c r="M593" s="8">
        <v>552000</v>
      </c>
      <c r="N593" s="6" t="s">
        <v>3995</v>
      </c>
      <c r="O593" s="24">
        <v>0.5</v>
      </c>
      <c r="P593" s="8">
        <v>276000</v>
      </c>
      <c r="Q593" s="6" t="s">
        <v>3996</v>
      </c>
      <c r="R593" s="6" t="s">
        <v>1509</v>
      </c>
      <c r="S593" s="6" t="s">
        <v>3050</v>
      </c>
      <c r="T593" s="10" t="s">
        <v>3997</v>
      </c>
      <c r="U593" s="10" t="s">
        <v>3998</v>
      </c>
      <c r="V593" s="6" t="s">
        <v>59</v>
      </c>
      <c r="W593" s="8" t="s">
        <v>3999</v>
      </c>
      <c r="X593" s="6" t="s">
        <v>74</v>
      </c>
    </row>
    <row r="594" spans="1:25" s="6" customFormat="1" ht="409.6">
      <c r="A594" s="6" t="s">
        <v>39</v>
      </c>
      <c r="B594" s="6">
        <v>24</v>
      </c>
      <c r="C594" s="7" t="s">
        <v>201</v>
      </c>
      <c r="D594" s="6" t="s">
        <v>2863</v>
      </c>
      <c r="E594" s="6" t="s">
        <v>2864</v>
      </c>
      <c r="F594" s="6" t="s">
        <v>40</v>
      </c>
      <c r="G594" s="6" t="s">
        <v>48</v>
      </c>
      <c r="H594" s="6" t="s">
        <v>2333</v>
      </c>
      <c r="I594" s="7" t="s">
        <v>2865</v>
      </c>
      <c r="J594" s="7" t="s">
        <v>2866</v>
      </c>
      <c r="K594" s="6">
        <v>1</v>
      </c>
      <c r="L594" s="6" t="s">
        <v>289</v>
      </c>
      <c r="M594" s="8">
        <v>0</v>
      </c>
      <c r="N594" s="6" t="s">
        <v>2143</v>
      </c>
      <c r="O594" s="24" t="s">
        <v>461</v>
      </c>
      <c r="P594" s="8">
        <v>0</v>
      </c>
      <c r="Q594" s="6" t="s">
        <v>2143</v>
      </c>
      <c r="R594" s="6" t="s">
        <v>2364</v>
      </c>
      <c r="S594" s="6" t="s">
        <v>2867</v>
      </c>
      <c r="T594" s="10" t="s">
        <v>2868</v>
      </c>
      <c r="U594" s="10" t="s">
        <v>2869</v>
      </c>
      <c r="V594" s="6" t="s">
        <v>59</v>
      </c>
      <c r="W594" s="6" t="s">
        <v>2870</v>
      </c>
      <c r="X594" s="6" t="s">
        <v>74</v>
      </c>
    </row>
    <row r="595" spans="1:25" s="6" customFormat="1" ht="220.8">
      <c r="A595" s="6" t="s">
        <v>39</v>
      </c>
      <c r="B595" s="6">
        <v>24</v>
      </c>
      <c r="C595" s="7" t="s">
        <v>285</v>
      </c>
      <c r="D595" s="6" t="s">
        <v>3913</v>
      </c>
      <c r="E595" s="6" t="s">
        <v>4000</v>
      </c>
      <c r="F595" s="6" t="s">
        <v>1278</v>
      </c>
      <c r="G595" s="6" t="s">
        <v>55</v>
      </c>
      <c r="H595" s="6" t="s">
        <v>743</v>
      </c>
      <c r="I595" s="7" t="s">
        <v>2865</v>
      </c>
      <c r="J595" s="7" t="s">
        <v>4001</v>
      </c>
      <c r="K595" s="6">
        <v>37</v>
      </c>
      <c r="L595" s="6" t="s">
        <v>43</v>
      </c>
      <c r="M595" s="8">
        <v>4144.7299999999996</v>
      </c>
      <c r="N595" s="6" t="s">
        <v>4002</v>
      </c>
      <c r="O595" s="24">
        <v>1</v>
      </c>
      <c r="P595" s="8">
        <v>4144.7299999999996</v>
      </c>
      <c r="Q595" s="6" t="s">
        <v>4002</v>
      </c>
      <c r="R595" s="6" t="s">
        <v>2674</v>
      </c>
      <c r="S595" s="6" t="s">
        <v>2899</v>
      </c>
      <c r="T595" s="10" t="s">
        <v>4003</v>
      </c>
      <c r="U595" s="10" t="s">
        <v>4004</v>
      </c>
      <c r="V595" s="6" t="s">
        <v>59</v>
      </c>
      <c r="W595" s="55">
        <v>2012931.14</v>
      </c>
      <c r="X595" s="6" t="s">
        <v>74</v>
      </c>
    </row>
    <row r="596" spans="1:25" s="6" customFormat="1" ht="207">
      <c r="A596" s="6" t="s">
        <v>39</v>
      </c>
      <c r="B596" s="6">
        <v>24</v>
      </c>
      <c r="C596" s="7" t="s">
        <v>295</v>
      </c>
      <c r="D596" s="6" t="s">
        <v>3914</v>
      </c>
      <c r="E596" s="6" t="s">
        <v>4005</v>
      </c>
      <c r="F596" s="6" t="s">
        <v>40</v>
      </c>
      <c r="G596" s="6" t="s">
        <v>47</v>
      </c>
      <c r="H596" s="6" t="s">
        <v>2942</v>
      </c>
      <c r="I596" s="7" t="s">
        <v>3970</v>
      </c>
      <c r="J596" s="7" t="s">
        <v>2925</v>
      </c>
      <c r="K596" s="6">
        <v>3</v>
      </c>
      <c r="L596" s="6" t="s">
        <v>43</v>
      </c>
      <c r="M596" s="8">
        <v>9600</v>
      </c>
      <c r="N596" s="6" t="s">
        <v>4006</v>
      </c>
      <c r="O596" s="24">
        <v>1</v>
      </c>
      <c r="P596" s="8">
        <v>9600</v>
      </c>
      <c r="Q596" s="6" t="s">
        <v>4006</v>
      </c>
      <c r="R596" s="6" t="s">
        <v>4007</v>
      </c>
      <c r="S596" s="6" t="s">
        <v>4008</v>
      </c>
      <c r="T596" s="10" t="s">
        <v>4009</v>
      </c>
      <c r="U596" s="10" t="s">
        <v>4010</v>
      </c>
      <c r="V596" s="6" t="s">
        <v>59</v>
      </c>
      <c r="W596" s="8">
        <v>9600</v>
      </c>
      <c r="X596" s="6" t="s">
        <v>74</v>
      </c>
    </row>
    <row r="597" spans="1:25" s="6" customFormat="1" ht="289.8">
      <c r="A597" s="6" t="s">
        <v>39</v>
      </c>
      <c r="B597" s="6">
        <v>24</v>
      </c>
      <c r="C597" s="7" t="s">
        <v>305</v>
      </c>
      <c r="D597" s="6" t="s">
        <v>3915</v>
      </c>
      <c r="E597" s="6" t="s">
        <v>4011</v>
      </c>
      <c r="F597" s="6" t="s">
        <v>1568</v>
      </c>
      <c r="G597" s="6" t="s">
        <v>55</v>
      </c>
      <c r="H597" s="6" t="s">
        <v>158</v>
      </c>
      <c r="I597" s="7" t="s">
        <v>2925</v>
      </c>
      <c r="J597" s="7" t="s">
        <v>2925</v>
      </c>
      <c r="K597" s="7" t="s">
        <v>1171</v>
      </c>
      <c r="L597" s="6" t="s">
        <v>2906</v>
      </c>
      <c r="M597" s="8">
        <v>380</v>
      </c>
      <c r="N597" s="6" t="s">
        <v>4012</v>
      </c>
      <c r="O597" s="24">
        <v>1</v>
      </c>
      <c r="P597" s="8">
        <v>380</v>
      </c>
      <c r="Q597" s="6" t="s">
        <v>4012</v>
      </c>
      <c r="R597" s="6" t="s">
        <v>2393</v>
      </c>
      <c r="S597" s="6" t="s">
        <v>2817</v>
      </c>
      <c r="T597" s="10" t="s">
        <v>4013</v>
      </c>
      <c r="U597" s="10" t="s">
        <v>4014</v>
      </c>
      <c r="V597" s="6" t="s">
        <v>59</v>
      </c>
      <c r="W597" s="8">
        <v>380</v>
      </c>
      <c r="X597" s="6" t="s">
        <v>74</v>
      </c>
    </row>
    <row r="598" spans="1:25" s="6" customFormat="1" ht="207">
      <c r="A598" s="6" t="s">
        <v>39</v>
      </c>
      <c r="B598" s="6">
        <v>24</v>
      </c>
      <c r="C598" s="7" t="s">
        <v>314</v>
      </c>
      <c r="D598" s="6" t="s">
        <v>3916</v>
      </c>
      <c r="E598" s="6" t="s">
        <v>4015</v>
      </c>
      <c r="F598" s="6" t="s">
        <v>1278</v>
      </c>
      <c r="G598" s="6" t="s">
        <v>55</v>
      </c>
      <c r="H598" s="6" t="s">
        <v>158</v>
      </c>
      <c r="I598" s="7" t="s">
        <v>2992</v>
      </c>
      <c r="J598" s="7" t="s">
        <v>2905</v>
      </c>
      <c r="K598" s="7" t="s">
        <v>2379</v>
      </c>
      <c r="L598" s="6" t="s">
        <v>43</v>
      </c>
      <c r="M598" s="8">
        <v>4987.5</v>
      </c>
      <c r="N598" s="6" t="s">
        <v>4016</v>
      </c>
      <c r="O598" s="24">
        <v>1</v>
      </c>
      <c r="P598" s="8">
        <v>4987.5</v>
      </c>
      <c r="Q598" s="6" t="s">
        <v>4016</v>
      </c>
      <c r="R598" s="6" t="s">
        <v>1509</v>
      </c>
      <c r="S598" s="6" t="s">
        <v>4017</v>
      </c>
      <c r="T598" s="10" t="s">
        <v>4018</v>
      </c>
      <c r="U598" s="10" t="s">
        <v>4019</v>
      </c>
      <c r="V598" s="6" t="s">
        <v>59</v>
      </c>
      <c r="W598" s="8">
        <v>4987.5</v>
      </c>
      <c r="X598" s="6" t="s">
        <v>74</v>
      </c>
    </row>
    <row r="599" spans="1:25" s="6" customFormat="1" ht="303.60000000000002">
      <c r="A599" s="6" t="s">
        <v>39</v>
      </c>
      <c r="B599" s="6">
        <v>24</v>
      </c>
      <c r="C599" s="7" t="s">
        <v>323</v>
      </c>
      <c r="D599" s="6" t="s">
        <v>3917</v>
      </c>
      <c r="E599" s="6" t="s">
        <v>4020</v>
      </c>
      <c r="F599" s="6" t="s">
        <v>2879</v>
      </c>
      <c r="G599" s="6" t="s">
        <v>55</v>
      </c>
      <c r="H599" s="6" t="s">
        <v>613</v>
      </c>
      <c r="I599" s="7" t="s">
        <v>3039</v>
      </c>
      <c r="J599" s="7" t="s">
        <v>3039</v>
      </c>
      <c r="K599" s="7" t="s">
        <v>1171</v>
      </c>
      <c r="L599" s="6" t="s">
        <v>43</v>
      </c>
      <c r="M599" s="8">
        <v>2760</v>
      </c>
      <c r="N599" s="6" t="s">
        <v>4021</v>
      </c>
      <c r="O599" s="24">
        <v>1</v>
      </c>
      <c r="P599" s="8">
        <v>2760</v>
      </c>
      <c r="Q599" s="6" t="s">
        <v>4021</v>
      </c>
      <c r="R599" s="6" t="s">
        <v>4022</v>
      </c>
      <c r="S599" s="6" t="s">
        <v>4023</v>
      </c>
      <c r="T599" s="10" t="s">
        <v>4024</v>
      </c>
      <c r="U599" s="10" t="s">
        <v>4025</v>
      </c>
      <c r="V599" s="6" t="s">
        <v>59</v>
      </c>
      <c r="W599" s="8">
        <v>2760</v>
      </c>
      <c r="X599" s="6" t="s">
        <v>74</v>
      </c>
    </row>
    <row r="600" spans="1:25" s="6" customFormat="1" ht="409.6">
      <c r="A600" s="6" t="s">
        <v>39</v>
      </c>
      <c r="B600" s="6">
        <v>24</v>
      </c>
      <c r="C600" s="7" t="s">
        <v>330</v>
      </c>
      <c r="D600" s="6" t="s">
        <v>3918</v>
      </c>
      <c r="E600" s="6" t="s">
        <v>4026</v>
      </c>
      <c r="F600" s="6" t="s">
        <v>2879</v>
      </c>
      <c r="G600" s="6" t="s">
        <v>55</v>
      </c>
      <c r="H600" s="6" t="s">
        <v>1685</v>
      </c>
      <c r="I600" s="7" t="s">
        <v>2905</v>
      </c>
      <c r="J600" s="7" t="s">
        <v>4027</v>
      </c>
      <c r="K600" s="7" t="s">
        <v>647</v>
      </c>
      <c r="L600" s="6" t="s">
        <v>2998</v>
      </c>
      <c r="M600" s="8">
        <v>240338.93</v>
      </c>
      <c r="N600" s="6" t="s">
        <v>4028</v>
      </c>
      <c r="O600" s="24">
        <v>0.5</v>
      </c>
      <c r="P600" s="8">
        <v>120169.47</v>
      </c>
      <c r="Q600" s="6" t="s">
        <v>4029</v>
      </c>
      <c r="R600" s="6" t="s">
        <v>1509</v>
      </c>
      <c r="S600" s="6" t="s">
        <v>2927</v>
      </c>
      <c r="T600" s="10" t="s">
        <v>4030</v>
      </c>
      <c r="U600" s="10" t="s">
        <v>4031</v>
      </c>
      <c r="V600" s="6" t="s">
        <v>59</v>
      </c>
      <c r="W600" s="8">
        <v>240338.93</v>
      </c>
      <c r="X600" s="6" t="s">
        <v>74</v>
      </c>
      <c r="Y600" s="6" t="s">
        <v>4032</v>
      </c>
    </row>
    <row r="601" spans="1:25" s="6" customFormat="1" ht="303.60000000000002">
      <c r="A601" s="6" t="s">
        <v>39</v>
      </c>
      <c r="B601" s="6">
        <v>24</v>
      </c>
      <c r="C601" s="7" t="s">
        <v>340</v>
      </c>
      <c r="D601" s="6" t="s">
        <v>3919</v>
      </c>
      <c r="E601" s="6" t="s">
        <v>4033</v>
      </c>
      <c r="F601" s="6" t="s">
        <v>1568</v>
      </c>
      <c r="G601" s="6" t="s">
        <v>55</v>
      </c>
      <c r="H601" s="6" t="s">
        <v>613</v>
      </c>
      <c r="I601" s="7" t="s">
        <v>2992</v>
      </c>
      <c r="J601" s="7" t="s">
        <v>2992</v>
      </c>
      <c r="K601" s="7" t="s">
        <v>2345</v>
      </c>
      <c r="L601" s="6" t="s">
        <v>2906</v>
      </c>
      <c r="M601" s="8">
        <v>450</v>
      </c>
      <c r="N601" s="6" t="s">
        <v>4034</v>
      </c>
      <c r="O601" s="24">
        <v>1</v>
      </c>
      <c r="P601" s="8">
        <v>450</v>
      </c>
      <c r="Q601" s="6" t="s">
        <v>4034</v>
      </c>
      <c r="R601" s="6" t="s">
        <v>2393</v>
      </c>
      <c r="S601" s="6" t="s">
        <v>4023</v>
      </c>
      <c r="T601" s="10" t="s">
        <v>4035</v>
      </c>
      <c r="U601" s="10" t="s">
        <v>4036</v>
      </c>
      <c r="V601" s="6" t="s">
        <v>59</v>
      </c>
      <c r="W601" s="8">
        <v>450</v>
      </c>
      <c r="X601" s="6" t="s">
        <v>74</v>
      </c>
    </row>
    <row r="602" spans="1:25" s="6" customFormat="1" ht="289.8">
      <c r="A602" s="6" t="s">
        <v>39</v>
      </c>
      <c r="B602" s="6">
        <v>24</v>
      </c>
      <c r="C602" s="7" t="s">
        <v>348</v>
      </c>
      <c r="D602" s="6" t="s">
        <v>3920</v>
      </c>
      <c r="E602" s="6" t="s">
        <v>4037</v>
      </c>
      <c r="F602" s="6" t="s">
        <v>40</v>
      </c>
      <c r="G602" s="6" t="s">
        <v>55</v>
      </c>
      <c r="H602" s="6" t="s">
        <v>4038</v>
      </c>
      <c r="I602" s="7" t="s">
        <v>2925</v>
      </c>
      <c r="J602" s="7" t="s">
        <v>2905</v>
      </c>
      <c r="K602" s="6">
        <v>3</v>
      </c>
      <c r="L602" s="6" t="s">
        <v>43</v>
      </c>
      <c r="M602" s="8">
        <v>16600</v>
      </c>
      <c r="N602" s="6" t="s">
        <v>4039</v>
      </c>
      <c r="O602" s="24">
        <v>1</v>
      </c>
      <c r="P602" s="8">
        <v>16600</v>
      </c>
      <c r="Q602" s="6" t="s">
        <v>4039</v>
      </c>
      <c r="R602" s="6" t="s">
        <v>2515</v>
      </c>
      <c r="S602" s="6" t="s">
        <v>4040</v>
      </c>
      <c r="T602" s="10" t="s">
        <v>4043</v>
      </c>
      <c r="U602" s="10" t="s">
        <v>4044</v>
      </c>
      <c r="V602" s="6" t="s">
        <v>59</v>
      </c>
      <c r="W602" s="8">
        <v>16600</v>
      </c>
      <c r="X602" s="6" t="s">
        <v>74</v>
      </c>
    </row>
    <row r="603" spans="1:25" s="6" customFormat="1" ht="289.8">
      <c r="A603" s="6" t="s">
        <v>39</v>
      </c>
      <c r="B603" s="6">
        <v>24</v>
      </c>
      <c r="C603" s="7" t="s">
        <v>358</v>
      </c>
      <c r="D603" s="6" t="s">
        <v>3921</v>
      </c>
      <c r="E603" s="6" t="s">
        <v>3074</v>
      </c>
      <c r="F603" s="6" t="s">
        <v>1568</v>
      </c>
      <c r="G603" s="6" t="s">
        <v>55</v>
      </c>
      <c r="H603" s="6" t="s">
        <v>158</v>
      </c>
      <c r="I603" s="7" t="s">
        <v>3039</v>
      </c>
      <c r="J603" s="7" t="s">
        <v>2905</v>
      </c>
      <c r="K603" s="6" t="s">
        <v>1171</v>
      </c>
      <c r="L603" s="6" t="s">
        <v>2906</v>
      </c>
      <c r="M603" s="8">
        <v>1750</v>
      </c>
      <c r="N603" s="6" t="s">
        <v>4041</v>
      </c>
      <c r="O603" s="24">
        <v>1</v>
      </c>
      <c r="P603" s="8">
        <v>1750</v>
      </c>
      <c r="Q603" s="6" t="s">
        <v>4041</v>
      </c>
      <c r="R603" s="6" t="s">
        <v>2393</v>
      </c>
      <c r="S603" s="6" t="s">
        <v>2817</v>
      </c>
      <c r="T603" s="10" t="s">
        <v>4042</v>
      </c>
      <c r="U603" s="10" t="s">
        <v>4045</v>
      </c>
      <c r="V603" s="6" t="s">
        <v>59</v>
      </c>
      <c r="W603" s="8">
        <v>1750</v>
      </c>
      <c r="X603" s="6" t="s">
        <v>74</v>
      </c>
    </row>
    <row r="604" spans="1:25" s="6" customFormat="1" ht="289.8">
      <c r="A604" s="6" t="s">
        <v>39</v>
      </c>
      <c r="B604" s="6">
        <v>24</v>
      </c>
      <c r="C604" s="7" t="s">
        <v>358</v>
      </c>
      <c r="D604" s="6" t="s">
        <v>3921</v>
      </c>
      <c r="E604" s="6" t="s">
        <v>3074</v>
      </c>
      <c r="F604" s="6" t="s">
        <v>1568</v>
      </c>
      <c r="G604" s="6" t="s">
        <v>55</v>
      </c>
      <c r="H604" s="6" t="s">
        <v>158</v>
      </c>
      <c r="I604" s="7" t="s">
        <v>2905</v>
      </c>
      <c r="J604" s="7" t="s">
        <v>2905</v>
      </c>
      <c r="K604" s="6" t="s">
        <v>1562</v>
      </c>
      <c r="L604" s="6" t="s">
        <v>2906</v>
      </c>
      <c r="M604" s="8">
        <v>700</v>
      </c>
      <c r="N604" s="6" t="s">
        <v>4046</v>
      </c>
      <c r="O604" s="24">
        <v>1</v>
      </c>
      <c r="P604" s="8">
        <v>700</v>
      </c>
      <c r="Q604" s="6" t="s">
        <v>4046</v>
      </c>
      <c r="R604" s="6" t="s">
        <v>2393</v>
      </c>
      <c r="S604" s="6" t="s">
        <v>2817</v>
      </c>
      <c r="T604" s="10" t="s">
        <v>4042</v>
      </c>
      <c r="U604" s="10" t="s">
        <v>4047</v>
      </c>
      <c r="V604" s="6" t="s">
        <v>59</v>
      </c>
      <c r="W604" s="8">
        <v>700</v>
      </c>
      <c r="X604" s="6" t="s">
        <v>74</v>
      </c>
      <c r="Y604" s="6" t="s">
        <v>4048</v>
      </c>
    </row>
    <row r="605" spans="1:25" s="6" customFormat="1" ht="409.6">
      <c r="A605" s="6" t="s">
        <v>39</v>
      </c>
      <c r="B605" s="6">
        <v>24</v>
      </c>
      <c r="C605" s="7" t="s">
        <v>494</v>
      </c>
      <c r="D605" s="6" t="s">
        <v>3922</v>
      </c>
      <c r="E605" s="6" t="s">
        <v>4049</v>
      </c>
      <c r="F605" s="6" t="s">
        <v>2880</v>
      </c>
      <c r="G605" s="6" t="s">
        <v>55</v>
      </c>
      <c r="H605" s="6" t="s">
        <v>158</v>
      </c>
      <c r="I605" s="7" t="s">
        <v>2905</v>
      </c>
      <c r="J605" s="7" t="s">
        <v>4050</v>
      </c>
      <c r="K605" s="6">
        <v>19</v>
      </c>
      <c r="L605" s="6" t="s">
        <v>2906</v>
      </c>
      <c r="M605" s="8">
        <v>99546.87</v>
      </c>
      <c r="N605" s="6" t="s">
        <v>4051</v>
      </c>
      <c r="O605" s="24">
        <v>1</v>
      </c>
      <c r="P605" s="8">
        <v>99546.87</v>
      </c>
      <c r="Q605" s="6" t="s">
        <v>4051</v>
      </c>
      <c r="R605" s="6" t="s">
        <v>4052</v>
      </c>
      <c r="S605" s="6" t="s">
        <v>4053</v>
      </c>
      <c r="T605" s="10" t="s">
        <v>4054</v>
      </c>
      <c r="U605" s="10" t="s">
        <v>4055</v>
      </c>
      <c r="V605" s="6" t="s">
        <v>59</v>
      </c>
      <c r="W605" s="8">
        <v>5787608.5599999996</v>
      </c>
      <c r="X605" s="6" t="s">
        <v>74</v>
      </c>
    </row>
    <row r="606" spans="1:25" s="6" customFormat="1" ht="409.6">
      <c r="A606" s="6" t="s">
        <v>39</v>
      </c>
      <c r="B606" s="6">
        <v>24</v>
      </c>
      <c r="C606" s="7" t="s">
        <v>505</v>
      </c>
      <c r="D606" s="6" t="s">
        <v>3923</v>
      </c>
      <c r="E606" s="6" t="s">
        <v>4056</v>
      </c>
      <c r="F606" s="6" t="s">
        <v>2880</v>
      </c>
      <c r="G606" s="6" t="s">
        <v>55</v>
      </c>
      <c r="H606" s="6" t="s">
        <v>4057</v>
      </c>
      <c r="I606" s="7" t="s">
        <v>3985</v>
      </c>
      <c r="J606" s="7" t="s">
        <v>4058</v>
      </c>
      <c r="K606" s="6">
        <v>41</v>
      </c>
      <c r="L606" s="6" t="s">
        <v>2998</v>
      </c>
      <c r="M606" s="8">
        <v>797832.53</v>
      </c>
      <c r="N606" s="6" t="s">
        <v>4059</v>
      </c>
      <c r="O606" s="24">
        <v>0.5</v>
      </c>
      <c r="P606" s="8">
        <v>398916.27</v>
      </c>
      <c r="Q606" s="6" t="s">
        <v>4060</v>
      </c>
      <c r="R606" s="6" t="s">
        <v>3684</v>
      </c>
      <c r="S606" s="6" t="s">
        <v>4061</v>
      </c>
      <c r="T606" s="10" t="s">
        <v>4062</v>
      </c>
      <c r="U606" s="10" t="s">
        <v>4063</v>
      </c>
      <c r="V606" s="6" t="s">
        <v>59</v>
      </c>
      <c r="W606" s="6" t="s">
        <v>3999</v>
      </c>
      <c r="X606" s="6" t="s">
        <v>74</v>
      </c>
    </row>
    <row r="607" spans="1:25" s="6" customFormat="1" ht="358.8">
      <c r="A607" s="6" t="s">
        <v>39</v>
      </c>
      <c r="B607" s="6">
        <v>24</v>
      </c>
      <c r="C607" s="7" t="s">
        <v>514</v>
      </c>
      <c r="D607" s="6" t="s">
        <v>3924</v>
      </c>
      <c r="E607" s="6" t="s">
        <v>4064</v>
      </c>
      <c r="F607" s="6" t="s">
        <v>40</v>
      </c>
      <c r="G607" s="6" t="s">
        <v>55</v>
      </c>
      <c r="H607" s="6" t="s">
        <v>1369</v>
      </c>
      <c r="I607" s="7" t="s">
        <v>2905</v>
      </c>
      <c r="J607" s="7" t="s">
        <v>2952</v>
      </c>
      <c r="K607" s="6">
        <v>2</v>
      </c>
      <c r="L607" s="6" t="s">
        <v>43</v>
      </c>
      <c r="M607" s="8">
        <v>11850</v>
      </c>
      <c r="N607" s="6" t="s">
        <v>4065</v>
      </c>
      <c r="O607" s="24">
        <v>1</v>
      </c>
      <c r="P607" s="8">
        <v>11850</v>
      </c>
      <c r="Q607" s="6" t="s">
        <v>4065</v>
      </c>
      <c r="R607" s="6" t="s">
        <v>4066</v>
      </c>
      <c r="S607" s="6" t="s">
        <v>4067</v>
      </c>
      <c r="T607" s="10" t="s">
        <v>4068</v>
      </c>
      <c r="U607" s="10" t="s">
        <v>4069</v>
      </c>
      <c r="V607" s="6" t="s">
        <v>59</v>
      </c>
      <c r="W607" s="6" t="s">
        <v>3999</v>
      </c>
      <c r="X607" s="6" t="s">
        <v>74</v>
      </c>
    </row>
    <row r="608" spans="1:25" s="6" customFormat="1" ht="276">
      <c r="B608" s="6">
        <v>24</v>
      </c>
      <c r="C608" s="7" t="s">
        <v>522</v>
      </c>
      <c r="D608" s="6" t="s">
        <v>4133</v>
      </c>
      <c r="E608" s="6" t="s">
        <v>4134</v>
      </c>
      <c r="F608" s="6" t="s">
        <v>2880</v>
      </c>
      <c r="G608" s="6" t="s">
        <v>55</v>
      </c>
      <c r="H608" s="6" t="s">
        <v>4135</v>
      </c>
      <c r="L608" s="6" t="s">
        <v>2906</v>
      </c>
      <c r="M608" s="8">
        <v>91928.25</v>
      </c>
      <c r="N608" s="6" t="s">
        <v>4136</v>
      </c>
      <c r="O608" s="24">
        <v>1</v>
      </c>
      <c r="P608" s="8">
        <v>91928.25</v>
      </c>
      <c r="Q608" s="6" t="s">
        <v>4136</v>
      </c>
      <c r="R608" s="6" t="s">
        <v>3972</v>
      </c>
      <c r="T608" s="10" t="s">
        <v>4137</v>
      </c>
      <c r="U608" s="10" t="s">
        <v>4138</v>
      </c>
      <c r="V608" s="6" t="s">
        <v>59</v>
      </c>
      <c r="W608" s="6" t="s">
        <v>3999</v>
      </c>
    </row>
    <row r="609" spans="2:23" s="6" customFormat="1" ht="303.60000000000002">
      <c r="B609" s="6">
        <v>24</v>
      </c>
      <c r="C609" s="7" t="s">
        <v>528</v>
      </c>
      <c r="D609" s="6" t="s">
        <v>4139</v>
      </c>
      <c r="E609" s="6" t="s">
        <v>4140</v>
      </c>
      <c r="F609" s="6" t="s">
        <v>1278</v>
      </c>
      <c r="G609" s="6" t="s">
        <v>55</v>
      </c>
      <c r="H609" s="6" t="s">
        <v>158</v>
      </c>
      <c r="L609" s="6" t="s">
        <v>43</v>
      </c>
      <c r="M609" s="8">
        <v>53884.88</v>
      </c>
      <c r="N609" s="6" t="s">
        <v>4141</v>
      </c>
      <c r="O609" s="24">
        <v>1</v>
      </c>
      <c r="P609" s="8">
        <v>53884.88</v>
      </c>
      <c r="Q609" s="6" t="s">
        <v>4141</v>
      </c>
      <c r="R609" s="6" t="s">
        <v>1509</v>
      </c>
      <c r="T609" s="10" t="s">
        <v>4142</v>
      </c>
      <c r="U609" s="10" t="s">
        <v>4143</v>
      </c>
      <c r="V609" s="6" t="s">
        <v>59</v>
      </c>
      <c r="W609" s="6" t="s">
        <v>3999</v>
      </c>
    </row>
    <row r="610" spans="2:23" s="6" customFormat="1" ht="303.60000000000002">
      <c r="B610" s="6">
        <v>24</v>
      </c>
      <c r="C610" s="7" t="s">
        <v>536</v>
      </c>
      <c r="D610" s="6" t="s">
        <v>4144</v>
      </c>
      <c r="E610" s="6" t="s">
        <v>4145</v>
      </c>
      <c r="F610" s="6" t="s">
        <v>2879</v>
      </c>
      <c r="G610" s="6" t="s">
        <v>55</v>
      </c>
      <c r="H610" s="6" t="s">
        <v>158</v>
      </c>
      <c r="L610" s="6" t="s">
        <v>2906</v>
      </c>
      <c r="M610" s="8">
        <v>144491.93</v>
      </c>
      <c r="N610" s="6" t="s">
        <v>4146</v>
      </c>
      <c r="O610" s="24">
        <v>1</v>
      </c>
      <c r="P610" s="8">
        <v>94767.48</v>
      </c>
      <c r="Q610" s="6" t="s">
        <v>4148</v>
      </c>
      <c r="R610" s="6" t="s">
        <v>4147</v>
      </c>
      <c r="T610" s="10" t="s">
        <v>4149</v>
      </c>
      <c r="U610" s="10" t="s">
        <v>4150</v>
      </c>
      <c r="V610" s="6" t="s">
        <v>59</v>
      </c>
      <c r="W610" s="6" t="s">
        <v>3999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TRABAJOS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 Martinez</dc:creator>
  <cp:lastModifiedBy>Pol Lombart</cp:lastModifiedBy>
  <dcterms:created xsi:type="dcterms:W3CDTF">2024-01-17T12:11:14Z</dcterms:created>
  <dcterms:modified xsi:type="dcterms:W3CDTF">2025-05-07T11:28:51Z</dcterms:modified>
</cp:coreProperties>
</file>