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.sutil\Music\radar_licitacionesb\templates_resumen\"/>
    </mc:Choice>
  </mc:AlternateContent>
  <xr:revisionPtr revIDLastSave="0" documentId="13_ncr:1_{7414D879-428C-4927-BD9A-42AF1152F387}" xr6:coauthVersionLast="47" xr6:coauthVersionMax="47" xr10:uidLastSave="{00000000-0000-0000-0000-000000000000}"/>
  <bookViews>
    <workbookView xWindow="31740" yWindow="1155" windowWidth="17160" windowHeight="12390" xr2:uid="{B1100F9D-E1DF-47E6-9828-DE5DD6313BA0}"/>
  </bookViews>
  <sheets>
    <sheet name="RESUMEN" sheetId="4" r:id="rId1"/>
    <sheet name="SOBRES" sheetId="5" r:id="rId2"/>
    <sheet name="ECONÓMICA" sheetId="7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7" l="1"/>
  <c r="I12" i="7"/>
  <c r="I11" i="7"/>
  <c r="I10" i="7"/>
  <c r="I9" i="7"/>
  <c r="I8" i="7"/>
  <c r="G39" i="7"/>
  <c r="F11" i="7"/>
  <c r="G11" i="7" s="1"/>
  <c r="F12" i="7"/>
  <c r="G12" i="7" s="1"/>
  <c r="F13" i="7"/>
  <c r="G13" i="7" s="1"/>
  <c r="I15" i="7" l="1"/>
  <c r="F9" i="7" l="1"/>
  <c r="G9" i="7" s="1"/>
  <c r="F10" i="7"/>
  <c r="F8" i="7"/>
  <c r="G8" i="7" s="1"/>
  <c r="F15" i="7" l="1"/>
  <c r="G10" i="7"/>
  <c r="G15" i="7" s="1"/>
  <c r="G16" i="7" s="1"/>
  <c r="D4" i="7" l="1"/>
  <c r="D3" i="7"/>
  <c r="G51" i="7" s="1"/>
  <c r="H51" i="7" s="1"/>
  <c r="I51" i="7" s="1"/>
  <c r="D2" i="7"/>
  <c r="G38" i="7" l="1"/>
  <c r="G37" i="7"/>
  <c r="G36" i="7"/>
  <c r="G35" i="7"/>
  <c r="D20" i="7"/>
  <c r="G20" i="7" s="1"/>
  <c r="D23" i="7"/>
  <c r="G23" i="7" s="1"/>
  <c r="D25" i="7"/>
  <c r="G25" i="7" s="1"/>
  <c r="D27" i="7"/>
  <c r="G27" i="7" s="1"/>
  <c r="G30" i="7"/>
  <c r="D24" i="7"/>
  <c r="G24" i="7" s="1"/>
  <c r="G29" i="7"/>
  <c r="D22" i="7"/>
  <c r="G22" i="7" s="1"/>
  <c r="G26" i="7"/>
  <c r="D28" i="7"/>
  <c r="G28" i="7" s="1"/>
  <c r="D21" i="7"/>
  <c r="G21" i="7" s="1"/>
  <c r="G31" i="7" l="1"/>
  <c r="G41" i="7" l="1"/>
  <c r="H41" i="7" s="1"/>
  <c r="G42" i="7" l="1"/>
  <c r="G45" i="7" s="1"/>
  <c r="G46" i="7" s="1"/>
  <c r="G47" i="7" s="1"/>
  <c r="H45" i="7" l="1"/>
  <c r="I45" i="7" s="1"/>
</calcChain>
</file>

<file path=xl/sharedStrings.xml><?xml version="1.0" encoding="utf-8"?>
<sst xmlns="http://schemas.openxmlformats.org/spreadsheetml/2006/main" count="79" uniqueCount="66">
  <si>
    <t>CPV</t>
  </si>
  <si>
    <t>OBJETO</t>
  </si>
  <si>
    <t>SOLVENCIA TÉCNICA</t>
  </si>
  <si>
    <t>IMPORTE</t>
  </si>
  <si>
    <t>FECHA LÍMTE</t>
  </si>
  <si>
    <t>HORA</t>
  </si>
  <si>
    <t>TÍTULO</t>
  </si>
  <si>
    <t>Nº EXP</t>
  </si>
  <si>
    <t>SOBRE 1</t>
  </si>
  <si>
    <t>pag PCA:</t>
  </si>
  <si>
    <t xml:space="preserve">    MEDIOS HUMANOS / MATERIALES</t>
  </si>
  <si>
    <t xml:space="preserve">    CRITERIOS DE ADJUDICACIÓN</t>
  </si>
  <si>
    <t>SOBRE 2</t>
  </si>
  <si>
    <t>SOBRE 3</t>
  </si>
  <si>
    <t>ENTIDAD ADJUDICADORA</t>
  </si>
  <si>
    <t>Costes laboral</t>
  </si>
  <si>
    <t>Coste empresa</t>
  </si>
  <si>
    <t>DEO</t>
  </si>
  <si>
    <t>UNIDADES</t>
  </si>
  <si>
    <t>COSTE UNITARIO</t>
  </si>
  <si>
    <t>TIEMPO</t>
  </si>
  <si>
    <t>Coche</t>
  </si>
  <si>
    <t>Otros coche</t>
  </si>
  <si>
    <t>Gestión informática</t>
  </si>
  <si>
    <t>RCA</t>
  </si>
  <si>
    <t>PLAZO (meses)</t>
  </si>
  <si>
    <t>Dedicación (%)</t>
  </si>
  <si>
    <t>Plazo (meses)</t>
  </si>
  <si>
    <t>Salario (anual)</t>
  </si>
  <si>
    <t>Indemnización</t>
  </si>
  <si>
    <t>DÍAS/AÑO</t>
  </si>
  <si>
    <t>COSTE PERSONAL COMPLETO</t>
  </si>
  <si>
    <t>¿APLICA? (S/N)</t>
  </si>
  <si>
    <t>S</t>
  </si>
  <si>
    <t>Comentarios</t>
  </si>
  <si>
    <t>Ordenador Gráfico</t>
  </si>
  <si>
    <t>Puesto</t>
  </si>
  <si>
    <t>Ordenador</t>
  </si>
  <si>
    <t>Tablets</t>
  </si>
  <si>
    <t>ADSL</t>
  </si>
  <si>
    <t>AUTORÍA / VISADO?</t>
  </si>
  <si>
    <t>Varios</t>
  </si>
  <si>
    <t>Presupuesto Tipo</t>
  </si>
  <si>
    <t>(iva 21%)</t>
  </si>
  <si>
    <t>total</t>
  </si>
  <si>
    <t>BAJA POSIBLE</t>
  </si>
  <si>
    <t>PERSONAL</t>
  </si>
  <si>
    <t>Imp. Adjudicación</t>
  </si>
  <si>
    <t>COSTE TOTAL</t>
  </si>
  <si>
    <t>MATERIAL</t>
  </si>
  <si>
    <t>COSTE MATERIAL COMPLETO</t>
  </si>
  <si>
    <t>SUBCONTRATACIÓN</t>
  </si>
  <si>
    <t>Topografía</t>
  </si>
  <si>
    <t>BREAAM/VERDE</t>
  </si>
  <si>
    <t>Ingeniería</t>
  </si>
  <si>
    <t>Otros</t>
  </si>
  <si>
    <t>COSTE SUBCONTRATACIÓN COMPLETO</t>
  </si>
  <si>
    <t>(MULTIPLICADOR)</t>
  </si>
  <si>
    <t>Coste finalización</t>
  </si>
  <si>
    <t>Beneficio</t>
  </si>
  <si>
    <t>Márgen</t>
  </si>
  <si>
    <t>BAJA MANUAL</t>
  </si>
  <si>
    <t>DO</t>
  </si>
  <si>
    <t>CSS</t>
  </si>
  <si>
    <t>VISITA TÉNICA</t>
  </si>
  <si>
    <t xml:space="preserve">LUGAR DE PRESTACIÓN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</si>
</sst>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h:mm;@"/>
    <numFmt numFmtId="166" formatCode="_-* #,##0.00\ [$€-C0A]_-;\-* #,##0.00\ [$€-C0A]_-;_-* &quot;-&quot;??\ [$€-C0A]_-;_-@_-"/>
  </numFmts>
  <fonts count="16" x14ac:knownFonts="1">
    <font>
      <sz val="11"/>
      <color theme="1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sz val="10"/>
      <color theme="1" tint="0.24997711111789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sz val="10"/>
      <color theme="7" tint="-0.499984740745262"/>
      <name val="Aptos Narrow"/>
      <family val="2"/>
      <scheme val="minor"/>
    </font>
    <font>
      <b/>
      <sz val="8"/>
      <color theme="7" tint="-0.49998474074526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7" tint="-0.499984740745262"/>
      <name val="Aptos Narrow"/>
      <family val="2"/>
      <scheme val="minor"/>
    </font>
    <font>
      <b/>
      <sz val="12"/>
      <color theme="9" tint="-0.499984740745262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theme="4"/>
      </top>
      <bottom/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7" tint="-0.499984740745262"/>
      </left>
      <right/>
      <top/>
      <bottom/>
      <diagonal/>
    </border>
    <border>
      <left/>
      <right style="medium">
        <color theme="7" tint="-0.499984740745262"/>
      </right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medium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theme="4"/>
      </left>
      <right/>
      <top style="medium">
        <color theme="4"/>
      </top>
      <bottom/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 style="medium">
        <color theme="9" tint="-0.499984740745262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1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right" vertical="center"/>
    </xf>
    <xf numFmtId="0" fontId="2" fillId="0" borderId="3" xfId="0" applyFont="1" applyBorder="1"/>
    <xf numFmtId="0" fontId="2" fillId="0" borderId="4" xfId="0" applyFont="1" applyBorder="1"/>
    <xf numFmtId="0" fontId="0" fillId="0" borderId="3" xfId="0" applyBorder="1"/>
    <xf numFmtId="14" fontId="4" fillId="2" borderId="4" xfId="0" applyNumberFormat="1" applyFont="1" applyFill="1" applyBorder="1" applyAlignment="1">
      <alignment horizontal="right" vertical="center" wrapText="1"/>
    </xf>
    <xf numFmtId="165" fontId="4" fillId="2" borderId="6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4" fillId="2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5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0" xfId="0" applyBorder="1"/>
    <xf numFmtId="0" fontId="1" fillId="0" borderId="1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 wrapText="1"/>
    </xf>
    <xf numFmtId="0" fontId="4" fillId="2" borderId="0" xfId="0" applyFont="1" applyFill="1"/>
    <xf numFmtId="9" fontId="4" fillId="2" borderId="0" xfId="3" applyFont="1" applyFill="1"/>
    <xf numFmtId="44" fontId="4" fillId="5" borderId="0" xfId="2" applyFont="1" applyFill="1"/>
    <xf numFmtId="164" fontId="4" fillId="2" borderId="0" xfId="0" applyNumberFormat="1" applyFont="1" applyFill="1"/>
    <xf numFmtId="9" fontId="4" fillId="2" borderId="0" xfId="3" applyFont="1" applyFill="1" applyBorder="1"/>
    <xf numFmtId="10" fontId="4" fillId="2" borderId="0" xfId="3" applyNumberFormat="1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9" fontId="4" fillId="0" borderId="0" xfId="3" applyFont="1" applyFill="1"/>
    <xf numFmtId="44" fontId="4" fillId="0" borderId="0" xfId="2" applyFont="1" applyFill="1"/>
    <xf numFmtId="44" fontId="4" fillId="5" borderId="17" xfId="2" applyFont="1" applyFill="1" applyBorder="1"/>
    <xf numFmtId="44" fontId="4" fillId="5" borderId="18" xfId="2" applyFont="1" applyFill="1" applyBorder="1"/>
    <xf numFmtId="44" fontId="4" fillId="0" borderId="18" xfId="2" applyFont="1" applyFill="1" applyBorder="1"/>
    <xf numFmtId="0" fontId="1" fillId="0" borderId="20" xfId="0" applyFont="1" applyBorder="1" applyAlignment="1">
      <alignment horizontal="center" vertical="center" wrapText="1"/>
    </xf>
    <xf numFmtId="0" fontId="9" fillId="5" borderId="0" xfId="0" applyFont="1" applyFill="1" applyAlignment="1">
      <alignment horizontal="center"/>
    </xf>
    <xf numFmtId="0" fontId="1" fillId="0" borderId="21" xfId="0" applyFont="1" applyBorder="1" applyAlignment="1">
      <alignment horizontal="center"/>
    </xf>
    <xf numFmtId="9" fontId="0" fillId="0" borderId="0" xfId="3" applyFont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10" fontId="0" fillId="0" borderId="0" xfId="3" applyNumberFormat="1" applyFont="1" applyBorder="1"/>
    <xf numFmtId="0" fontId="0" fillId="0" borderId="14" xfId="0" applyBorder="1" applyAlignment="1">
      <alignment horizontal="center" vertical="center"/>
    </xf>
    <xf numFmtId="164" fontId="4" fillId="2" borderId="14" xfId="0" applyNumberFormat="1" applyFont="1" applyFill="1" applyBorder="1"/>
    <xf numFmtId="0" fontId="2" fillId="0" borderId="1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4" fillId="2" borderId="14" xfId="0" applyFont="1" applyFill="1" applyBorder="1"/>
    <xf numFmtId="44" fontId="4" fillId="5" borderId="19" xfId="2" applyFont="1" applyFill="1" applyBorder="1"/>
    <xf numFmtId="44" fontId="1" fillId="0" borderId="0" xfId="2" applyFont="1" applyFill="1" applyBorder="1"/>
    <xf numFmtId="0" fontId="11" fillId="0" borderId="0" xfId="0" applyFont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44" fontId="1" fillId="5" borderId="0" xfId="2" applyFont="1" applyFill="1" applyBorder="1"/>
    <xf numFmtId="44" fontId="1" fillId="5" borderId="18" xfId="2" applyFont="1" applyFill="1" applyBorder="1"/>
    <xf numFmtId="0" fontId="9" fillId="0" borderId="0" xfId="0" applyFont="1" applyAlignment="1">
      <alignment horizontal="left" vertical="center"/>
    </xf>
    <xf numFmtId="0" fontId="1" fillId="0" borderId="24" xfId="0" applyFont="1" applyBorder="1"/>
    <xf numFmtId="0" fontId="1" fillId="0" borderId="15" xfId="0" applyFont="1" applyBorder="1"/>
    <xf numFmtId="44" fontId="1" fillId="5" borderId="15" xfId="2" applyFont="1" applyFill="1" applyBorder="1"/>
    <xf numFmtId="0" fontId="0" fillId="0" borderId="25" xfId="0" applyBorder="1"/>
    <xf numFmtId="44" fontId="1" fillId="0" borderId="15" xfId="2" applyFont="1" applyFill="1" applyBorder="1"/>
    <xf numFmtId="44" fontId="1" fillId="0" borderId="25" xfId="2" applyFont="1" applyFill="1" applyBorder="1"/>
    <xf numFmtId="44" fontId="1" fillId="7" borderId="22" xfId="2" applyFont="1" applyFill="1" applyBorder="1"/>
    <xf numFmtId="0" fontId="10" fillId="0" borderId="0" xfId="0" applyFont="1" applyAlignment="1">
      <alignment horizontal="center" vertical="center"/>
    </xf>
    <xf numFmtId="0" fontId="4" fillId="2" borderId="14" xfId="0" applyFont="1" applyFill="1" applyBorder="1" applyAlignment="1">
      <alignment horizontal="center"/>
    </xf>
    <xf numFmtId="0" fontId="12" fillId="6" borderId="22" xfId="0" applyFont="1" applyFill="1" applyBorder="1" applyAlignment="1">
      <alignment horizontal="center"/>
    </xf>
    <xf numFmtId="0" fontId="12" fillId="6" borderId="26" xfId="0" applyFont="1" applyFill="1" applyBorder="1" applyAlignment="1">
      <alignment horizontal="center"/>
    </xf>
    <xf numFmtId="166" fontId="13" fillId="7" borderId="26" xfId="1" applyNumberFormat="1" applyFont="1" applyFill="1" applyBorder="1" applyAlignment="1">
      <alignment horizontal="center" vertical="center"/>
    </xf>
    <xf numFmtId="166" fontId="13" fillId="7" borderId="22" xfId="1" applyNumberFormat="1" applyFont="1" applyFill="1" applyBorder="1" applyAlignment="1">
      <alignment horizontal="center" vertical="center"/>
    </xf>
    <xf numFmtId="10" fontId="13" fillId="7" borderId="22" xfId="3" applyNumberFormat="1" applyFont="1" applyFill="1" applyBorder="1" applyAlignment="1">
      <alignment horizontal="center" vertical="center"/>
    </xf>
    <xf numFmtId="10" fontId="4" fillId="5" borderId="12" xfId="3" applyNumberFormat="1" applyFont="1" applyFill="1" applyBorder="1"/>
    <xf numFmtId="44" fontId="9" fillId="5" borderId="0" xfId="2" applyFont="1" applyFill="1" applyBorder="1" applyAlignment="1"/>
    <xf numFmtId="0" fontId="9" fillId="5" borderId="0" xfId="0" applyFont="1" applyFill="1"/>
    <xf numFmtId="0" fontId="5" fillId="0" borderId="0" xfId="0" applyFont="1" applyAlignment="1">
      <alignment horizontal="right"/>
    </xf>
    <xf numFmtId="0" fontId="12" fillId="3" borderId="27" xfId="0" applyFont="1" applyFill="1" applyBorder="1" applyAlignment="1">
      <alignment horizontal="center"/>
    </xf>
    <xf numFmtId="0" fontId="0" fillId="0" borderId="28" xfId="0" applyBorder="1"/>
    <xf numFmtId="166" fontId="14" fillId="4" borderId="27" xfId="1" applyNumberFormat="1" applyFont="1" applyFill="1" applyBorder="1" applyAlignment="1">
      <alignment horizontal="center" vertical="center"/>
    </xf>
    <xf numFmtId="44" fontId="15" fillId="8" borderId="29" xfId="2" applyFont="1" applyFill="1" applyBorder="1"/>
    <xf numFmtId="44" fontId="15" fillId="8" borderId="30" xfId="2" applyFont="1" applyFill="1" applyBorder="1"/>
    <xf numFmtId="0" fontId="4" fillId="2" borderId="0" xfId="0" applyFont="1" applyFill="1" applyAlignment="1">
      <alignment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top" wrapText="1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8" xfId="0" applyFont="1" applyBorder="1" applyAlignment="1">
      <alignment horizont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390524</xdr:colOff>
      <xdr:row>3</xdr:row>
      <xdr:rowOff>66674</xdr:rowOff>
    </xdr:from>
    <xdr:to>
      <xdr:col>1</xdr:col>
      <xdr:colOff>1063625</xdr:colOff>
      <xdr:row>6</xdr:row>
      <xdr:rowOff>244475</xdr:rowOff>
    </xdr:to>
    <xdr:pic>
      <xdr:nvPicPr>
        <xdr:cNvPr id="9" name="Gráfico 8" descr="Bandeja de entrada contorno">
          <a:extLst>
            <a:ext uri="{FF2B5EF4-FFF2-40B4-BE49-F238E27FC236}">
              <a16:creationId xmlns:a16="http://schemas.microsoft.com/office/drawing/2014/main" id="{A247D431-9423-6BB7-E578-268DACFCA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0524" y="876299"/>
          <a:ext cx="1076326" cy="10763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66675</xdr:rowOff>
    </xdr:from>
    <xdr:to>
      <xdr:col>1</xdr:col>
      <xdr:colOff>1025525</xdr:colOff>
      <xdr:row>4</xdr:row>
      <xdr:rowOff>25400</xdr:rowOff>
    </xdr:to>
    <xdr:pic>
      <xdr:nvPicPr>
        <xdr:cNvPr id="2" name="Gráfico 1" descr="Impuestos contorno">
          <a:extLst>
            <a:ext uri="{FF2B5EF4-FFF2-40B4-BE49-F238E27FC236}">
              <a16:creationId xmlns:a16="http://schemas.microsoft.com/office/drawing/2014/main" id="{3FEF6863-9B9D-4B89-AA23-44357025C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79400" y="273050"/>
          <a:ext cx="968375" cy="968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E6CA-4E93-4AB1-A209-E8F194E41894}">
  <dimension ref="B1:L21"/>
  <sheetViews>
    <sheetView showGridLines="0" tabSelected="1" workbookViewId="0">
      <selection activeCell="B21" sqref="B21:I21"/>
    </sheetView>
  </sheetViews>
  <sheetFormatPr baseColWidth="10" defaultColWidth="11.44140625" defaultRowHeight="13.8" x14ac:dyDescent="0.3"/>
  <cols>
    <col min="1" max="1" width="6.21875" style="4" customWidth="1"/>
    <col min="2" max="2" width="23.44140625" style="4" customWidth="1"/>
    <col min="3" max="3" width="65.77734375" style="4" customWidth="1"/>
    <col min="4" max="4" width="11.44140625" style="4"/>
    <col min="5" max="5" width="15" style="4" customWidth="1"/>
    <col min="6" max="6" width="40.21875" style="4" customWidth="1"/>
    <col min="7" max="7" width="11.44140625" style="4"/>
    <col min="8" max="8" width="14" style="4" customWidth="1"/>
    <col min="9" max="9" width="26.21875" style="4" customWidth="1"/>
    <col min="10" max="16384" width="11.44140625" style="4"/>
  </cols>
  <sheetData>
    <row r="1" spans="2:9" ht="24" customHeight="1" thickBot="1" x14ac:dyDescent="0.35"/>
    <row r="2" spans="2:9" s="6" customFormat="1" ht="14.4" x14ac:dyDescent="0.3">
      <c r="B2" s="1" t="s">
        <v>14</v>
      </c>
      <c r="C2" s="102"/>
      <c r="D2" s="5"/>
      <c r="E2" s="2" t="s">
        <v>3</v>
      </c>
      <c r="F2" s="101"/>
      <c r="G2" s="5"/>
      <c r="H2" s="2" t="s">
        <v>4</v>
      </c>
      <c r="I2" s="13"/>
    </row>
    <row r="3" spans="2:9" s="6" customFormat="1" ht="25.05" customHeight="1" x14ac:dyDescent="0.3">
      <c r="B3" s="7"/>
      <c r="C3" s="103"/>
      <c r="E3" s="3" t="s">
        <v>25</v>
      </c>
      <c r="F3" s="15"/>
      <c r="H3" s="3" t="s">
        <v>5</v>
      </c>
      <c r="I3" s="14"/>
    </row>
    <row r="4" spans="2:9" s="6" customFormat="1" ht="15" customHeight="1" x14ac:dyDescent="0.35">
      <c r="B4" s="8"/>
      <c r="F4" s="19"/>
      <c r="I4" s="9"/>
    </row>
    <row r="5" spans="2:9" s="6" customFormat="1" ht="39.75" customHeight="1" x14ac:dyDescent="0.3">
      <c r="B5" s="28" t="s">
        <v>6</v>
      </c>
      <c r="C5" s="103"/>
      <c r="D5" s="103"/>
      <c r="E5" s="103"/>
      <c r="F5" s="103"/>
      <c r="G5" s="103"/>
      <c r="H5" s="103"/>
      <c r="I5" s="107"/>
    </row>
    <row r="6" spans="2:9" s="6" customFormat="1" ht="16.5" customHeight="1" x14ac:dyDescent="0.3">
      <c r="B6" s="28" t="s">
        <v>7</v>
      </c>
      <c r="C6" s="16"/>
      <c r="D6" s="17"/>
      <c r="E6" s="17"/>
      <c r="F6" s="17"/>
      <c r="G6" s="17"/>
      <c r="H6" s="17"/>
      <c r="I6" s="18"/>
    </row>
    <row r="7" spans="2:9" s="6" customFormat="1" ht="96" customHeight="1" x14ac:dyDescent="0.3">
      <c r="B7" s="28" t="s">
        <v>0</v>
      </c>
      <c r="C7" s="100"/>
      <c r="D7" s="17"/>
      <c r="E7" s="17"/>
      <c r="F7" s="17"/>
      <c r="G7" s="17"/>
      <c r="H7" s="17"/>
      <c r="I7" s="18"/>
    </row>
    <row r="8" spans="2:9" s="6" customFormat="1" ht="16.5" customHeight="1" x14ac:dyDescent="0.3">
      <c r="B8" s="28" t="s">
        <v>64</v>
      </c>
      <c r="C8" s="16"/>
      <c r="D8" s="17"/>
      <c r="E8" s="17"/>
      <c r="F8" s="17"/>
      <c r="G8" s="17"/>
      <c r="H8" s="17"/>
      <c r="I8" s="18"/>
    </row>
    <row r="9" spans="2:9" s="6" customFormat="1" ht="15" thickBot="1" x14ac:dyDescent="0.35">
      <c r="B9" s="29" t="s">
        <v>65</v>
      </c>
      <c r="C9" s="108"/>
      <c r="D9" s="108"/>
      <c r="E9" s="108"/>
      <c r="F9" s="108"/>
      <c r="G9" s="108"/>
      <c r="H9" s="108"/>
      <c r="I9" s="109"/>
    </row>
    <row r="10" spans="2:9" ht="13.5" thickBot="1" x14ac:dyDescent="0.35"/>
    <row r="11" spans="2:9" ht="14.55" x14ac:dyDescent="0.3">
      <c r="B11" s="1" t="s">
        <v>1</v>
      </c>
      <c r="C11" s="10"/>
      <c r="D11" s="10"/>
      <c r="E11" s="10"/>
      <c r="F11" s="10"/>
      <c r="G11" s="10"/>
      <c r="H11" s="10"/>
      <c r="I11" s="11"/>
    </row>
    <row r="12" spans="2:9" ht="77.400000000000006" customHeight="1" thickBot="1" x14ac:dyDescent="0.35">
      <c r="B12" s="104"/>
      <c r="C12" s="105"/>
      <c r="D12" s="105"/>
      <c r="E12" s="105"/>
      <c r="F12" s="105"/>
      <c r="G12" s="105"/>
      <c r="H12" s="105"/>
      <c r="I12" s="106"/>
    </row>
    <row r="13" spans="2:9" ht="13.5" thickBot="1" x14ac:dyDescent="0.35"/>
    <row r="14" spans="2:9" ht="14.4" x14ac:dyDescent="0.3">
      <c r="B14" s="1" t="s">
        <v>2</v>
      </c>
      <c r="C14" s="12"/>
      <c r="D14" s="10"/>
      <c r="E14" s="10"/>
      <c r="F14" s="10"/>
      <c r="G14" s="10"/>
      <c r="H14" s="10"/>
      <c r="I14" s="11"/>
    </row>
    <row r="15" spans="2:9" ht="202.2" customHeight="1" thickBot="1" x14ac:dyDescent="0.35">
      <c r="B15" s="104"/>
      <c r="C15" s="105"/>
      <c r="D15" s="105"/>
      <c r="E15" s="105"/>
      <c r="F15" s="105"/>
      <c r="G15" s="105"/>
      <c r="H15" s="105"/>
      <c r="I15" s="106"/>
    </row>
    <row r="16" spans="2:9" ht="14.4" thickBot="1" x14ac:dyDescent="0.35"/>
    <row r="17" spans="2:12" ht="14.4" x14ac:dyDescent="0.3">
      <c r="B17" s="20" t="s">
        <v>10</v>
      </c>
      <c r="C17" s="21"/>
      <c r="D17" s="10"/>
      <c r="E17" s="10"/>
      <c r="F17" s="10"/>
      <c r="G17" s="10"/>
      <c r="H17" s="10"/>
      <c r="I17" s="11"/>
    </row>
    <row r="18" spans="2:12" ht="306.60000000000002" customHeight="1" thickBot="1" x14ac:dyDescent="0.35">
      <c r="B18" s="104"/>
      <c r="C18" s="105"/>
      <c r="D18" s="105"/>
      <c r="E18" s="105"/>
      <c r="F18" s="105"/>
      <c r="G18" s="105"/>
      <c r="H18" s="105"/>
      <c r="I18" s="106"/>
      <c r="L18"/>
    </row>
    <row r="19" spans="2:12" ht="14.4" thickBot="1" x14ac:dyDescent="0.35"/>
    <row r="20" spans="2:12" ht="14.4" x14ac:dyDescent="0.3">
      <c r="B20" s="20" t="s">
        <v>11</v>
      </c>
      <c r="C20" s="10"/>
      <c r="D20" s="10"/>
      <c r="E20" s="10"/>
      <c r="F20" s="10"/>
      <c r="G20" s="10"/>
      <c r="H20" s="10"/>
      <c r="I20" s="11"/>
    </row>
    <row r="21" spans="2:12" ht="166.2" customHeight="1" thickBot="1" x14ac:dyDescent="0.35">
      <c r="B21" s="104"/>
      <c r="C21" s="105"/>
      <c r="D21" s="105"/>
      <c r="E21" s="105"/>
      <c r="F21" s="105"/>
      <c r="G21" s="105"/>
      <c r="H21" s="105"/>
      <c r="I21" s="106"/>
    </row>
  </sheetData>
  <mergeCells count="7">
    <mergeCell ref="C2:C3"/>
    <mergeCell ref="B21:I21"/>
    <mergeCell ref="C5:I5"/>
    <mergeCell ref="B12:I12"/>
    <mergeCell ref="B15:I15"/>
    <mergeCell ref="B18:I18"/>
    <mergeCell ref="C9:I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B787-7119-4879-A614-DDF35A5CBA32}">
  <dimension ref="B1:N18"/>
  <sheetViews>
    <sheetView showGridLines="0" workbookViewId="0">
      <selection activeCell="C4" sqref="C4:M4"/>
    </sheetView>
  </sheetViews>
  <sheetFormatPr baseColWidth="10" defaultRowHeight="14.4" x14ac:dyDescent="0.3"/>
  <cols>
    <col min="1" max="1" width="6.21875" customWidth="1"/>
    <col min="2" max="2" width="10.21875" customWidth="1"/>
  </cols>
  <sheetData>
    <row r="1" spans="2:14" ht="24" customHeight="1" thickBot="1" x14ac:dyDescent="0.35"/>
    <row r="2" spans="2:14" x14ac:dyDescent="0.3">
      <c r="B2" s="1" t="s">
        <v>8</v>
      </c>
      <c r="C2" s="111"/>
      <c r="D2" s="111"/>
      <c r="E2" s="111"/>
      <c r="F2" s="111"/>
      <c r="G2" s="111"/>
      <c r="H2" s="111"/>
      <c r="I2" s="111"/>
      <c r="J2" s="111"/>
      <c r="K2" s="111"/>
      <c r="L2" s="12"/>
      <c r="M2" s="2" t="s">
        <v>9</v>
      </c>
      <c r="N2" s="22"/>
    </row>
    <row r="3" spans="2:14" x14ac:dyDescent="0.3">
      <c r="B3" s="23"/>
      <c r="N3" s="24"/>
    </row>
    <row r="4" spans="2:14" ht="100.05" customHeight="1" x14ac:dyDescent="0.3">
      <c r="B4" s="23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24"/>
    </row>
    <row r="5" spans="2:14" x14ac:dyDescent="0.3">
      <c r="B5" s="23"/>
      <c r="N5" s="24"/>
    </row>
    <row r="6" spans="2:14" ht="15" thickBot="1" x14ac:dyDescent="0.35"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7"/>
    </row>
    <row r="7" spans="2:14" ht="15" thickBot="1" x14ac:dyDescent="0.35"/>
    <row r="8" spans="2:14" x14ac:dyDescent="0.3">
      <c r="B8" s="1" t="s">
        <v>12</v>
      </c>
      <c r="C8" s="112"/>
      <c r="D8" s="111"/>
      <c r="E8" s="111"/>
      <c r="F8" s="111"/>
      <c r="G8" s="111"/>
      <c r="H8" s="111"/>
      <c r="I8" s="111"/>
      <c r="J8" s="111"/>
      <c r="K8" s="111"/>
      <c r="L8" s="12"/>
      <c r="M8" s="2" t="s">
        <v>9</v>
      </c>
      <c r="N8" s="22"/>
    </row>
    <row r="9" spans="2:14" x14ac:dyDescent="0.3">
      <c r="B9" s="23"/>
      <c r="N9" s="24"/>
    </row>
    <row r="10" spans="2:14" ht="100.05" customHeight="1" x14ac:dyDescent="0.3">
      <c r="B10" s="23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24"/>
    </row>
    <row r="11" spans="2:14" x14ac:dyDescent="0.3">
      <c r="B11" s="23"/>
      <c r="N11" s="24"/>
    </row>
    <row r="12" spans="2:14" ht="15" thickBot="1" x14ac:dyDescent="0.35"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7"/>
    </row>
    <row r="13" spans="2:14" ht="15" thickBot="1" x14ac:dyDescent="0.35"/>
    <row r="14" spans="2:14" x14ac:dyDescent="0.3">
      <c r="B14" s="1" t="s">
        <v>13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2"/>
      <c r="M14" s="2" t="s">
        <v>9</v>
      </c>
      <c r="N14" s="22"/>
    </row>
    <row r="15" spans="2:14" x14ac:dyDescent="0.3">
      <c r="B15" s="23"/>
      <c r="N15" s="24"/>
    </row>
    <row r="16" spans="2:14" ht="100.05" customHeight="1" x14ac:dyDescent="0.3">
      <c r="B16" s="23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24"/>
    </row>
    <row r="17" spans="2:14" x14ac:dyDescent="0.3">
      <c r="B17" s="23"/>
      <c r="N17" s="24"/>
    </row>
    <row r="18" spans="2:14" ht="15" thickBot="1" x14ac:dyDescent="0.35"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7"/>
    </row>
  </sheetData>
  <mergeCells count="6">
    <mergeCell ref="C16:M16"/>
    <mergeCell ref="C2:K2"/>
    <mergeCell ref="C8:K8"/>
    <mergeCell ref="C14:K14"/>
    <mergeCell ref="C4:M4"/>
    <mergeCell ref="C10:M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B0B6-33C2-4AC1-8518-78144B0BB3E5}">
  <dimension ref="B1:K52"/>
  <sheetViews>
    <sheetView showGridLines="0" zoomScaleNormal="100" workbookViewId="0">
      <selection activeCell="I13" sqref="I13"/>
    </sheetView>
  </sheetViews>
  <sheetFormatPr baseColWidth="10" defaultRowHeight="14.4" x14ac:dyDescent="0.3"/>
  <cols>
    <col min="1" max="1" width="6.21875" customWidth="1"/>
    <col min="2" max="2" width="29.21875" customWidth="1"/>
    <col min="3" max="10" width="17" customWidth="1"/>
    <col min="11" max="11" width="16.5546875" customWidth="1"/>
  </cols>
  <sheetData>
    <row r="1" spans="2:10" ht="24" customHeight="1" thickBot="1" x14ac:dyDescent="0.35">
      <c r="D1" s="37"/>
      <c r="E1" s="37"/>
      <c r="F1" s="37"/>
      <c r="G1" s="37"/>
      <c r="H1" s="37"/>
      <c r="I1" s="37"/>
      <c r="J1" s="37"/>
    </row>
    <row r="2" spans="2:10" ht="48.75" customHeight="1" x14ac:dyDescent="0.3">
      <c r="B2" s="33"/>
      <c r="C2" s="34" t="s">
        <v>6</v>
      </c>
      <c r="D2" s="116">
        <f>RESUMEN!C5</f>
        <v>0</v>
      </c>
      <c r="E2" s="116"/>
      <c r="F2" s="116"/>
      <c r="G2" s="116"/>
      <c r="H2" s="116"/>
      <c r="I2" s="116"/>
      <c r="J2" s="117"/>
    </row>
    <row r="3" spans="2:10" ht="15" customHeight="1" x14ac:dyDescent="0.3">
      <c r="B3" s="35"/>
      <c r="C3" s="61" t="s">
        <v>47</v>
      </c>
      <c r="D3" s="92">
        <f>RESUMEN!F2</f>
        <v>0</v>
      </c>
      <c r="J3" s="36"/>
    </row>
    <row r="4" spans="2:10" ht="15" thickBot="1" x14ac:dyDescent="0.35">
      <c r="B4" s="35"/>
      <c r="C4" s="62" t="s">
        <v>25</v>
      </c>
      <c r="D4" s="93">
        <f>RESUMEN!F3</f>
        <v>0</v>
      </c>
      <c r="E4" s="63"/>
      <c r="H4" s="64"/>
      <c r="J4" s="36"/>
    </row>
    <row r="5" spans="2:10" ht="15" thickBot="1" x14ac:dyDescent="0.35">
      <c r="B5" s="38"/>
      <c r="C5" s="38"/>
      <c r="D5" s="38"/>
      <c r="E5" s="38"/>
      <c r="F5" s="39"/>
      <c r="G5" s="38"/>
      <c r="H5" s="38"/>
      <c r="I5" s="38"/>
      <c r="J5" s="38"/>
    </row>
    <row r="6" spans="2:10" x14ac:dyDescent="0.3">
      <c r="B6" s="60" t="s">
        <v>46</v>
      </c>
      <c r="C6" s="49" t="s">
        <v>26</v>
      </c>
      <c r="D6" s="49" t="s">
        <v>27</v>
      </c>
      <c r="E6" s="49" t="s">
        <v>28</v>
      </c>
      <c r="F6" s="49" t="s">
        <v>15</v>
      </c>
      <c r="G6" s="58" t="s">
        <v>16</v>
      </c>
      <c r="H6" s="114" t="s">
        <v>29</v>
      </c>
      <c r="I6" s="115"/>
      <c r="J6" s="49" t="s">
        <v>34</v>
      </c>
    </row>
    <row r="7" spans="2:10" x14ac:dyDescent="0.3">
      <c r="B7" s="40"/>
      <c r="C7" s="40"/>
      <c r="D7" s="40"/>
      <c r="E7" s="40"/>
      <c r="F7" s="41">
        <v>1.34</v>
      </c>
      <c r="G7" s="56">
        <v>1.27</v>
      </c>
      <c r="H7" s="41" t="s">
        <v>30</v>
      </c>
      <c r="I7" s="56"/>
      <c r="J7" s="40"/>
    </row>
    <row r="8" spans="2:10" x14ac:dyDescent="0.3">
      <c r="B8" s="42" t="s">
        <v>62</v>
      </c>
      <c r="C8" s="43">
        <v>0</v>
      </c>
      <c r="D8" s="42">
        <v>0</v>
      </c>
      <c r="E8" s="42">
        <v>0</v>
      </c>
      <c r="F8" s="44">
        <f>+$F$7*C8*D8*(E8/12)</f>
        <v>0</v>
      </c>
      <c r="G8" s="53">
        <f>+F8*$G$7</f>
        <v>0</v>
      </c>
      <c r="H8" s="57">
        <v>33</v>
      </c>
      <c r="I8" s="53">
        <f t="shared" ref="I8:I13" si="0">IFERROR(E8*(C8*(D8/12)/360)*H8,0)</f>
        <v>0</v>
      </c>
      <c r="J8" s="42"/>
    </row>
    <row r="9" spans="2:10" x14ac:dyDescent="0.3">
      <c r="B9" s="42" t="s">
        <v>17</v>
      </c>
      <c r="C9" s="43">
        <v>0</v>
      </c>
      <c r="D9" s="42">
        <v>0</v>
      </c>
      <c r="E9" s="42">
        <v>0</v>
      </c>
      <c r="F9" s="44">
        <f t="shared" ref="F9:F10" si="1">+$F$7*C9*D9*(E9/12)</f>
        <v>0</v>
      </c>
      <c r="G9" s="54">
        <f t="shared" ref="G9:G13" si="2">+F9*$G$7</f>
        <v>0</v>
      </c>
      <c r="H9" s="57">
        <v>33</v>
      </c>
      <c r="I9" s="53">
        <f t="shared" si="0"/>
        <v>0</v>
      </c>
      <c r="J9" s="42"/>
    </row>
    <row r="10" spans="2:10" x14ac:dyDescent="0.3">
      <c r="B10" s="42" t="s">
        <v>63</v>
      </c>
      <c r="C10" s="43">
        <v>0</v>
      </c>
      <c r="D10" s="42">
        <v>0</v>
      </c>
      <c r="E10" s="42">
        <v>0</v>
      </c>
      <c r="F10" s="44">
        <f t="shared" si="1"/>
        <v>0</v>
      </c>
      <c r="G10" s="54">
        <f t="shared" si="2"/>
        <v>0</v>
      </c>
      <c r="H10" s="57">
        <v>33</v>
      </c>
      <c r="I10" s="53">
        <f t="shared" si="0"/>
        <v>0</v>
      </c>
      <c r="J10" s="42"/>
    </row>
    <row r="11" spans="2:10" x14ac:dyDescent="0.3">
      <c r="B11" s="42"/>
      <c r="C11" s="43">
        <v>0</v>
      </c>
      <c r="D11" s="42">
        <v>0</v>
      </c>
      <c r="E11" s="42">
        <v>0</v>
      </c>
      <c r="F11" s="44">
        <f t="shared" ref="F11:F13" si="3">+$F$7*C11*D11*(E11/12)</f>
        <v>0</v>
      </c>
      <c r="G11" s="54">
        <f t="shared" si="2"/>
        <v>0</v>
      </c>
      <c r="H11" s="57">
        <v>33</v>
      </c>
      <c r="I11" s="53">
        <f t="shared" si="0"/>
        <v>0</v>
      </c>
      <c r="J11" s="42"/>
    </row>
    <row r="12" spans="2:10" x14ac:dyDescent="0.3">
      <c r="B12" s="42"/>
      <c r="C12" s="43">
        <v>0</v>
      </c>
      <c r="D12" s="42">
        <v>0</v>
      </c>
      <c r="E12" s="42">
        <v>0</v>
      </c>
      <c r="F12" s="44">
        <f t="shared" si="3"/>
        <v>0</v>
      </c>
      <c r="G12" s="54">
        <f t="shared" si="2"/>
        <v>0</v>
      </c>
      <c r="H12" s="57">
        <v>33</v>
      </c>
      <c r="I12" s="53">
        <f t="shared" si="0"/>
        <v>0</v>
      </c>
      <c r="J12" s="42"/>
    </row>
    <row r="13" spans="2:10" x14ac:dyDescent="0.3">
      <c r="B13" s="42"/>
      <c r="C13" s="43">
        <v>0</v>
      </c>
      <c r="D13" s="42">
        <v>0</v>
      </c>
      <c r="E13" s="42">
        <v>0</v>
      </c>
      <c r="F13" s="44">
        <f t="shared" si="3"/>
        <v>0</v>
      </c>
      <c r="G13" s="54">
        <f t="shared" si="2"/>
        <v>0</v>
      </c>
      <c r="H13" s="57">
        <v>33</v>
      </c>
      <c r="I13" s="53">
        <f t="shared" si="0"/>
        <v>0</v>
      </c>
      <c r="J13" s="42"/>
    </row>
    <row r="14" spans="2:10" x14ac:dyDescent="0.3">
      <c r="B14" s="50"/>
      <c r="C14" s="51"/>
      <c r="D14" s="50"/>
      <c r="E14" s="50"/>
      <c r="F14" s="52"/>
      <c r="G14" s="55"/>
      <c r="H14" s="30"/>
      <c r="J14" s="84" t="s">
        <v>32</v>
      </c>
    </row>
    <row r="15" spans="2:10" ht="15" thickBot="1" x14ac:dyDescent="0.35">
      <c r="B15" s="48"/>
      <c r="F15" s="74">
        <f>SUM(F8:F14)</f>
        <v>0</v>
      </c>
      <c r="G15" s="75">
        <f>SUM(G8:G14)</f>
        <v>0</v>
      </c>
      <c r="H15" s="76" t="s">
        <v>58</v>
      </c>
      <c r="I15" s="74">
        <f>SUM(I8:I13)</f>
        <v>0</v>
      </c>
      <c r="J15" s="85" t="s">
        <v>33</v>
      </c>
    </row>
    <row r="16" spans="2:10" ht="15" thickBot="1" x14ac:dyDescent="0.35">
      <c r="B16" s="77" t="s">
        <v>31</v>
      </c>
      <c r="C16" s="78"/>
      <c r="D16" s="78"/>
      <c r="E16" s="78"/>
      <c r="F16" s="78"/>
      <c r="G16" s="83">
        <f>IF(J15="S",G15+I15,G15)</f>
        <v>0</v>
      </c>
      <c r="H16" s="38"/>
      <c r="I16" s="38"/>
      <c r="J16" s="80"/>
    </row>
    <row r="17" spans="2:10" ht="15" thickBot="1" x14ac:dyDescent="0.35">
      <c r="B17" s="38"/>
      <c r="C17" s="38"/>
      <c r="D17" s="38"/>
      <c r="E17" s="38"/>
      <c r="F17" s="38"/>
      <c r="G17" s="38"/>
      <c r="H17" s="38"/>
      <c r="I17" s="38"/>
      <c r="J17" s="38"/>
    </row>
    <row r="18" spans="2:10" x14ac:dyDescent="0.3">
      <c r="B18" s="60" t="s">
        <v>49</v>
      </c>
      <c r="C18" s="49" t="s">
        <v>18</v>
      </c>
      <c r="D18" s="49" t="s">
        <v>20</v>
      </c>
      <c r="E18" s="49" t="s">
        <v>19</v>
      </c>
      <c r="G18" s="58" t="s">
        <v>16</v>
      </c>
      <c r="H18" s="30"/>
      <c r="I18" s="31"/>
      <c r="J18" s="68" t="s">
        <v>34</v>
      </c>
    </row>
    <row r="19" spans="2:10" x14ac:dyDescent="0.3">
      <c r="B19" s="40"/>
      <c r="C19" s="40"/>
      <c r="D19" s="73" t="s">
        <v>57</v>
      </c>
      <c r="E19" s="40"/>
      <c r="F19" s="41"/>
      <c r="G19" s="56"/>
      <c r="H19" s="41"/>
      <c r="I19" s="56"/>
      <c r="J19" s="40"/>
    </row>
    <row r="20" spans="2:10" x14ac:dyDescent="0.3">
      <c r="B20" s="42" t="s">
        <v>35</v>
      </c>
      <c r="C20" s="42">
        <v>0</v>
      </c>
      <c r="D20" s="42">
        <f>$D$4</f>
        <v>0</v>
      </c>
      <c r="E20" s="45">
        <v>183</v>
      </c>
      <c r="G20" s="53">
        <f>+D20*E20*C20</f>
        <v>0</v>
      </c>
      <c r="H20" s="30"/>
      <c r="I20" s="30"/>
      <c r="J20" s="42"/>
    </row>
    <row r="21" spans="2:10" x14ac:dyDescent="0.3">
      <c r="B21" s="42" t="s">
        <v>36</v>
      </c>
      <c r="C21" s="42">
        <v>0</v>
      </c>
      <c r="D21" s="42">
        <f>$D$4</f>
        <v>0</v>
      </c>
      <c r="E21" s="45">
        <v>182.7</v>
      </c>
      <c r="G21" s="54">
        <f>+D21*E21*C21</f>
        <v>0</v>
      </c>
      <c r="H21" s="30"/>
      <c r="I21" s="30"/>
      <c r="J21" s="42"/>
    </row>
    <row r="22" spans="2:10" x14ac:dyDescent="0.3">
      <c r="B22" s="42" t="s">
        <v>37</v>
      </c>
      <c r="C22" s="42">
        <v>0</v>
      </c>
      <c r="D22" s="42">
        <f t="shared" ref="D22:D28" si="4">$D$4</f>
        <v>0</v>
      </c>
      <c r="E22" s="45">
        <v>185</v>
      </c>
      <c r="G22" s="54">
        <f t="shared" ref="G22:G30" si="5">+D22*E22*C22</f>
        <v>0</v>
      </c>
      <c r="H22" s="30"/>
      <c r="I22" s="30"/>
      <c r="J22" s="42"/>
    </row>
    <row r="23" spans="2:10" x14ac:dyDescent="0.3">
      <c r="B23" s="42" t="s">
        <v>21</v>
      </c>
      <c r="C23" s="42">
        <v>0</v>
      </c>
      <c r="D23" s="42">
        <f t="shared" si="4"/>
        <v>0</v>
      </c>
      <c r="E23" s="45">
        <v>500</v>
      </c>
      <c r="G23" s="54">
        <f t="shared" si="5"/>
        <v>0</v>
      </c>
      <c r="H23" s="30"/>
      <c r="I23" s="59"/>
      <c r="J23" s="42"/>
    </row>
    <row r="24" spans="2:10" x14ac:dyDescent="0.3">
      <c r="B24" s="42" t="s">
        <v>22</v>
      </c>
      <c r="C24" s="42">
        <v>0</v>
      </c>
      <c r="D24" s="42">
        <f t="shared" si="4"/>
        <v>0</v>
      </c>
      <c r="E24" s="45">
        <v>300</v>
      </c>
      <c r="G24" s="54">
        <f t="shared" si="5"/>
        <v>0</v>
      </c>
      <c r="H24" s="30"/>
      <c r="I24" s="30"/>
      <c r="J24" s="42"/>
    </row>
    <row r="25" spans="2:10" x14ac:dyDescent="0.3">
      <c r="B25" s="42" t="s">
        <v>23</v>
      </c>
      <c r="C25" s="42">
        <v>0</v>
      </c>
      <c r="D25" s="42">
        <f t="shared" si="4"/>
        <v>0</v>
      </c>
      <c r="E25" s="45">
        <v>50</v>
      </c>
      <c r="G25" s="54">
        <f t="shared" si="5"/>
        <v>0</v>
      </c>
      <c r="H25" s="30"/>
      <c r="I25" s="30"/>
      <c r="J25" s="42"/>
    </row>
    <row r="26" spans="2:10" x14ac:dyDescent="0.3">
      <c r="B26" s="42" t="s">
        <v>24</v>
      </c>
      <c r="C26" s="42">
        <v>0</v>
      </c>
      <c r="D26" s="42">
        <v>1</v>
      </c>
      <c r="E26" s="45">
        <v>1200</v>
      </c>
      <c r="G26" s="54">
        <f t="shared" si="5"/>
        <v>0</v>
      </c>
      <c r="H26" s="30"/>
      <c r="I26" s="32"/>
      <c r="J26" s="42"/>
    </row>
    <row r="27" spans="2:10" x14ac:dyDescent="0.3">
      <c r="B27" s="42" t="s">
        <v>38</v>
      </c>
      <c r="C27" s="42">
        <v>0</v>
      </c>
      <c r="D27" s="42">
        <f t="shared" si="4"/>
        <v>0</v>
      </c>
      <c r="E27" s="45">
        <v>300</v>
      </c>
      <c r="G27" s="54">
        <f t="shared" si="5"/>
        <v>0</v>
      </c>
      <c r="H27" s="30"/>
      <c r="I27" s="32"/>
      <c r="J27" s="42"/>
    </row>
    <row r="28" spans="2:10" x14ac:dyDescent="0.3">
      <c r="B28" s="42" t="s">
        <v>39</v>
      </c>
      <c r="C28" s="42">
        <v>0</v>
      </c>
      <c r="D28" s="42">
        <f t="shared" si="4"/>
        <v>0</v>
      </c>
      <c r="E28" s="45">
        <v>70</v>
      </c>
      <c r="G28" s="54">
        <f t="shared" si="5"/>
        <v>0</v>
      </c>
      <c r="H28" s="30"/>
      <c r="I28" s="32"/>
      <c r="J28" s="42"/>
    </row>
    <row r="29" spans="2:10" x14ac:dyDescent="0.3">
      <c r="B29" s="42" t="s">
        <v>40</v>
      </c>
      <c r="C29" s="42">
        <v>0</v>
      </c>
      <c r="D29" s="42">
        <v>1</v>
      </c>
      <c r="E29" s="45">
        <v>5000</v>
      </c>
      <c r="G29" s="54">
        <f t="shared" si="5"/>
        <v>0</v>
      </c>
      <c r="H29" s="30"/>
      <c r="I29" s="32"/>
      <c r="J29" s="42"/>
    </row>
    <row r="30" spans="2:10" ht="15" thickBot="1" x14ac:dyDescent="0.35">
      <c r="B30" s="69" t="s">
        <v>41</v>
      </c>
      <c r="C30" s="69">
        <v>0</v>
      </c>
      <c r="D30" s="69">
        <v>1</v>
      </c>
      <c r="E30" s="66">
        <v>50</v>
      </c>
      <c r="F30" s="37"/>
      <c r="G30" s="70">
        <f t="shared" si="5"/>
        <v>0</v>
      </c>
      <c r="H30" s="65"/>
      <c r="I30" s="67"/>
      <c r="J30" s="69"/>
    </row>
    <row r="31" spans="2:10" ht="15" thickBot="1" x14ac:dyDescent="0.35">
      <c r="B31" s="77" t="s">
        <v>50</v>
      </c>
      <c r="C31" s="38"/>
      <c r="D31" s="38"/>
      <c r="E31" s="38"/>
      <c r="F31" s="81"/>
      <c r="G31" s="83">
        <f>SUM(G20:G30)</f>
        <v>0</v>
      </c>
      <c r="H31" s="81"/>
      <c r="I31" s="81"/>
      <c r="J31" s="82"/>
    </row>
    <row r="32" spans="2:10" ht="15" thickBot="1" x14ac:dyDescent="0.35">
      <c r="B32" s="38"/>
      <c r="C32" s="38"/>
      <c r="D32" s="38"/>
      <c r="E32" s="38"/>
      <c r="F32" s="38"/>
      <c r="G32" s="38"/>
      <c r="H32" s="38"/>
      <c r="I32" s="38"/>
      <c r="J32" s="38"/>
    </row>
    <row r="33" spans="2:11" x14ac:dyDescent="0.3">
      <c r="B33" s="60" t="s">
        <v>51</v>
      </c>
      <c r="C33" s="49" t="s">
        <v>18</v>
      </c>
      <c r="D33" s="72" t="s">
        <v>57</v>
      </c>
      <c r="E33" s="49" t="s">
        <v>19</v>
      </c>
      <c r="G33" s="58" t="s">
        <v>16</v>
      </c>
      <c r="H33" s="30"/>
      <c r="I33" s="31"/>
      <c r="J33" s="68" t="s">
        <v>34</v>
      </c>
    </row>
    <row r="34" spans="2:11" x14ac:dyDescent="0.3">
      <c r="B34" s="40"/>
      <c r="C34" s="40"/>
      <c r="D34" s="40"/>
      <c r="E34" s="40"/>
      <c r="F34" s="41"/>
      <c r="G34" s="56"/>
      <c r="H34" s="41"/>
      <c r="I34" s="56"/>
      <c r="J34" s="40"/>
    </row>
    <row r="35" spans="2:11" x14ac:dyDescent="0.3">
      <c r="B35" s="42" t="s">
        <v>52</v>
      </c>
      <c r="C35" s="42">
        <v>0</v>
      </c>
      <c r="D35" s="42">
        <v>1</v>
      </c>
      <c r="E35" s="45">
        <v>5000</v>
      </c>
      <c r="G35" s="53">
        <f>+D35*E35*C35</f>
        <v>0</v>
      </c>
      <c r="H35" s="30"/>
      <c r="I35" s="30"/>
      <c r="J35" s="42"/>
    </row>
    <row r="36" spans="2:11" x14ac:dyDescent="0.3">
      <c r="B36" s="42" t="s">
        <v>53</v>
      </c>
      <c r="C36" s="42">
        <v>0</v>
      </c>
      <c r="D36" s="42">
        <v>1</v>
      </c>
      <c r="E36" s="45">
        <v>15000</v>
      </c>
      <c r="G36" s="54">
        <f>+D36*E36*C36</f>
        <v>0</v>
      </c>
      <c r="H36" s="30"/>
      <c r="I36" s="30"/>
      <c r="J36" s="42"/>
    </row>
    <row r="37" spans="2:11" x14ac:dyDescent="0.3">
      <c r="B37" s="42" t="s">
        <v>54</v>
      </c>
      <c r="C37" s="42">
        <v>0</v>
      </c>
      <c r="D37" s="42">
        <v>1</v>
      </c>
      <c r="E37" s="45">
        <v>23000</v>
      </c>
      <c r="G37" s="54">
        <f t="shared" ref="G37:G38" si="6">+D37*E37*C37</f>
        <v>0</v>
      </c>
      <c r="H37" s="30"/>
      <c r="I37" s="30"/>
      <c r="J37" s="42"/>
    </row>
    <row r="38" spans="2:11" ht="15" thickBot="1" x14ac:dyDescent="0.35">
      <c r="B38" s="69" t="s">
        <v>55</v>
      </c>
      <c r="C38" s="69">
        <v>0</v>
      </c>
      <c r="D38" s="69">
        <v>1</v>
      </c>
      <c r="E38" s="66">
        <v>500</v>
      </c>
      <c r="F38" s="37"/>
      <c r="G38" s="70">
        <f t="shared" si="6"/>
        <v>0</v>
      </c>
      <c r="H38" s="65"/>
      <c r="I38" s="67"/>
      <c r="J38" s="69"/>
    </row>
    <row r="39" spans="2:11" ht="15" thickBot="1" x14ac:dyDescent="0.35">
      <c r="B39" s="77" t="s">
        <v>56</v>
      </c>
      <c r="C39" s="38"/>
      <c r="D39" s="38"/>
      <c r="E39" s="38"/>
      <c r="F39" s="81"/>
      <c r="G39" s="83">
        <f>SUM(G35:G38)</f>
        <v>0</v>
      </c>
      <c r="H39" s="81"/>
      <c r="I39" s="81"/>
      <c r="J39" s="82"/>
    </row>
    <row r="40" spans="2:11" ht="15" thickBot="1" x14ac:dyDescent="0.35">
      <c r="B40" s="48"/>
      <c r="F40" s="71"/>
      <c r="G40" s="71"/>
      <c r="H40" s="71"/>
      <c r="I40" s="71"/>
      <c r="J40" s="71"/>
    </row>
    <row r="41" spans="2:11" ht="16.2" thickBot="1" x14ac:dyDescent="0.35">
      <c r="C41" s="30"/>
      <c r="E41" s="30"/>
      <c r="F41" s="87" t="s">
        <v>48</v>
      </c>
      <c r="G41" s="88">
        <f>+G31+G16+G39</f>
        <v>0</v>
      </c>
      <c r="H41" s="91" t="e">
        <f>+($D$3-G41)/$D$3</f>
        <v>#DIV/0!</v>
      </c>
      <c r="I41" s="49" t="s">
        <v>60</v>
      </c>
    </row>
    <row r="42" spans="2:11" ht="15" thickBot="1" x14ac:dyDescent="0.35">
      <c r="C42" s="30"/>
      <c r="E42" s="30"/>
      <c r="F42" s="78" t="s">
        <v>59</v>
      </c>
      <c r="G42" s="79">
        <f>+H42*G41</f>
        <v>0</v>
      </c>
      <c r="H42" s="46">
        <v>0.1</v>
      </c>
      <c r="I42" s="30"/>
    </row>
    <row r="43" spans="2:11" x14ac:dyDescent="0.3">
      <c r="C43" s="30"/>
      <c r="E43" s="30"/>
    </row>
    <row r="44" spans="2:11" ht="15" thickBot="1" x14ac:dyDescent="0.35">
      <c r="C44" s="30"/>
      <c r="E44" s="30"/>
      <c r="J44" s="30"/>
      <c r="K44" s="30"/>
    </row>
    <row r="45" spans="2:11" ht="16.2" thickBot="1" x14ac:dyDescent="0.35">
      <c r="C45" s="30"/>
      <c r="E45" s="30"/>
      <c r="F45" s="86" t="s">
        <v>42</v>
      </c>
      <c r="G45" s="89">
        <f>+G41+G42</f>
        <v>0</v>
      </c>
      <c r="H45" s="79">
        <f>G45*0.21</f>
        <v>0</v>
      </c>
      <c r="I45" s="79">
        <f>G45+H45</f>
        <v>0</v>
      </c>
      <c r="J45" s="30"/>
      <c r="K45" s="30"/>
    </row>
    <row r="46" spans="2:11" ht="15" thickBot="1" x14ac:dyDescent="0.35">
      <c r="C46" s="30"/>
      <c r="E46" s="30"/>
      <c r="F46" s="30"/>
      <c r="G46" s="79">
        <f>$D$3-G45</f>
        <v>0</v>
      </c>
      <c r="H46" s="94" t="s">
        <v>43</v>
      </c>
      <c r="I46" s="94" t="s">
        <v>44</v>
      </c>
    </row>
    <row r="47" spans="2:11" ht="16.2" thickBot="1" x14ac:dyDescent="0.35">
      <c r="C47" s="30"/>
      <c r="F47" s="86" t="s">
        <v>45</v>
      </c>
      <c r="G47" s="90" t="e">
        <f>1-($D$3-G46)/$D$3</f>
        <v>#DIV/0!</v>
      </c>
    </row>
    <row r="49" spans="6:9" ht="15" thickBot="1" x14ac:dyDescent="0.35"/>
    <row r="50" spans="6:9" ht="16.2" thickBot="1" x14ac:dyDescent="0.35">
      <c r="F50" s="95" t="s">
        <v>61</v>
      </c>
      <c r="G50" s="47">
        <v>0.37140000000000001</v>
      </c>
      <c r="H50" s="96"/>
      <c r="I50" s="96"/>
    </row>
    <row r="51" spans="6:9" ht="16.2" thickBot="1" x14ac:dyDescent="0.35">
      <c r="G51" s="97">
        <f>+$D$3*(1-G50)</f>
        <v>0</v>
      </c>
      <c r="H51" s="98">
        <f>G51*0.21</f>
        <v>0</v>
      </c>
      <c r="I51" s="99">
        <f>G51+H51</f>
        <v>0</v>
      </c>
    </row>
    <row r="52" spans="6:9" x14ac:dyDescent="0.3">
      <c r="H52" s="94" t="s">
        <v>43</v>
      </c>
      <c r="I52" s="94" t="s">
        <v>44</v>
      </c>
    </row>
  </sheetData>
  <mergeCells count="2">
    <mergeCell ref="H6:I6"/>
    <mergeCell ref="D2:J2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SOBRES</vt:lpstr>
      <vt:lpstr>ECONÓMICA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Martinez</dc:creator>
  <cp:lastModifiedBy>Manuel Sutil Fernandez</cp:lastModifiedBy>
  <dcterms:created xsi:type="dcterms:W3CDTF">2021-03-03T13:15:18Z</dcterms:created>
  <dcterms:modified xsi:type="dcterms:W3CDTF">2026-02-03T14:33:29Z</dcterms:modified>
</cp:coreProperties>
</file>